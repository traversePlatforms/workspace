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Read me" sheetId="1" state="visible" r:id="rId1"/>
    <sheet name="Profit" sheetId="2" state="visible" r:id="rId2"/>
    <sheet name="Fixed costs" sheetId="3" state="visible" r:id="rId3"/>
    <sheet name="Employees" sheetId="4" state="visible" r:id="rId4"/>
    <sheet name="Payments" sheetId="5" state="visible" r:id="rId5"/>
    <sheet name="Variable per job" sheetId="6" state="visible" r:id="rId6"/>
  </sheets>
  <definedNames/>
  <calcPr calcId="124519" fullCalcOnLoad="1"/>
</workbook>
</file>

<file path=xl/styles.xml><?xml version="1.0" encoding="utf-8"?>
<styleSheet xmlns="http://schemas.openxmlformats.org/spreadsheetml/2006/main">
  <numFmts count="9">
    <numFmt numFmtId="164" formatCode="$#,##0.00;($#,##0.00);-"/>
    <numFmt numFmtId="165" formatCode="0.0%;(0.0%);-"/>
    <numFmt numFmtId="166" formatCode="$#,##0;($#,##0);-"/>
    <numFmt numFmtId="167" formatCode="yyyy-mm-dd"/>
    <numFmt numFmtId="168" formatCode="#,##0.0"/>
    <numFmt numFmtId="169" formatCode="$#,##0.000"/>
    <numFmt numFmtId="170" formatCode="0.0"/>
    <numFmt numFmtId="171" formatCode="#,##0.0;(#,##0.0);-"/>
    <numFmt numFmtId="172" formatCode="0.000"/>
  </numFmts>
  <fonts count="10">
    <font>
      <name val="Calibri"/>
      <family val="2"/>
      <color theme="1"/>
      <sz val="11"/>
      <scheme val="minor"/>
    </font>
    <font>
      <name val="Arial"/>
      <b val="1"/>
      <sz val="14"/>
    </font>
    <font>
      <name val="Arial"/>
      <i val="1"/>
      <color rgb="00555555"/>
      <sz val="9"/>
    </font>
    <font>
      <name val="Arial"/>
    </font>
    <font>
      <name val="Arial"/>
      <b val="1"/>
    </font>
    <font>
      <name val="Arial"/>
      <color rgb="000000FF"/>
    </font>
    <font>
      <name val="Arial"/>
      <b val="1"/>
      <color rgb="00FFFFFF"/>
    </font>
    <font>
      <name val="Arial"/>
      <color rgb="00008000"/>
    </font>
    <font>
      <b val="1"/>
    </font>
    <font>
      <i val="1"/>
      <color rgb="00666666"/>
    </font>
  </fonts>
  <fills count="7">
    <fill>
      <patternFill/>
    </fill>
    <fill>
      <patternFill patternType="gray125"/>
    </fill>
    <fill>
      <patternFill patternType="solid">
        <fgColor rgb="00FFFF00"/>
      </patternFill>
    </fill>
    <fill>
      <patternFill patternType="solid">
        <fgColor rgb="002F4F3A"/>
      </patternFill>
    </fill>
    <fill>
      <patternFill patternType="solid">
        <fgColor rgb="00E4EDE6"/>
      </patternFill>
    </fill>
    <fill>
      <patternFill patternType="solid">
        <fgColor rgb="00F2F2F2"/>
      </patternFill>
    </fill>
    <fill>
      <patternFill patternType="solid">
        <fgColor rgb="00FFF4C2"/>
      </patternFill>
    </fill>
  </fills>
  <borders count="3">
    <border>
      <left/>
      <right/>
      <top/>
      <bottom/>
      <diagonal/>
    </border>
    <border>
      <left style="thin">
        <color rgb="00BBBBBB"/>
      </left>
      <right style="thin">
        <color rgb="00BBBBBB"/>
      </right>
      <top style="thin">
        <color rgb="00BBBBBB"/>
      </top>
      <bottom style="thin">
        <color rgb="00BBBBBB"/>
      </bottom>
    </border>
    <border>
      <top style="medium">
        <color rgb="00333333"/>
      </top>
    </border>
  </borders>
  <cellStyleXfs count="1">
    <xf numFmtId="0" fontId="0" fillId="0" borderId="0"/>
  </cellStyleXfs>
  <cellXfs count="7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0" fillId="2" borderId="0" pivotButton="0" quotePrefix="0" xfId="0"/>
    <xf numFmtId="0" fontId="5" fillId="0" borderId="0" pivotButton="0" quotePrefix="0" xfId="0"/>
    <xf numFmtId="0" fontId="1" fillId="0" borderId="0" pivotButton="0" quotePrefix="0" xfId="0"/>
    <xf numFmtId="0" fontId="2" fillId="0" borderId="0" applyAlignment="1" pivotButton="0" quotePrefix="0" xfId="0">
      <alignment wrapText="1"/>
    </xf>
    <xf numFmtId="0" fontId="6" fillId="3" borderId="0" pivotButton="0" quotePrefix="0" xfId="0"/>
    <xf numFmtId="0" fontId="6" fillId="3" borderId="0" applyAlignment="1" pivotButton="0" quotePrefix="0" xfId="0">
      <alignment horizontal="center"/>
    </xf>
    <xf numFmtId="0" fontId="2" fillId="0" borderId="0" pivotButton="0" quotePrefix="0" xfId="0"/>
    <xf numFmtId="0" fontId="4" fillId="4" borderId="0" pivotButton="0" quotePrefix="0" xfId="0"/>
    <xf numFmtId="0" fontId="0" fillId="4" borderId="0" pivotButton="0" quotePrefix="0" xfId="0"/>
    <xf numFmtId="0" fontId="3" fillId="0" borderId="0" pivotButton="0" quotePrefix="0" xfId="0"/>
    <xf numFmtId="164" fontId="7" fillId="0" borderId="0" pivotButton="0" quotePrefix="0" xfId="0"/>
    <xf numFmtId="164" fontId="3" fillId="0" borderId="0" pivotButton="0" quotePrefix="0" xfId="0"/>
    <xf numFmtId="0" fontId="4" fillId="0" borderId="0" pivotButton="0" quotePrefix="0" xfId="0"/>
    <xf numFmtId="164" fontId="4" fillId="0" borderId="0" pivotButton="0" quotePrefix="0" xfId="0"/>
    <xf numFmtId="164" fontId="5" fillId="2" borderId="0" pivotButton="0" quotePrefix="0" xfId="0"/>
    <xf numFmtId="1" fontId="5" fillId="2" borderId="0" pivotButton="0" quotePrefix="0" xfId="0"/>
    <xf numFmtId="0" fontId="4" fillId="5" borderId="2" pivotButton="0" quotePrefix="0" xfId="0"/>
    <xf numFmtId="164" fontId="4" fillId="5" borderId="2" pivotButton="0" quotePrefix="0" xfId="0"/>
    <xf numFmtId="0" fontId="0" fillId="5" borderId="2" pivotButton="0" quotePrefix="0" xfId="0"/>
    <xf numFmtId="165" fontId="3" fillId="0" borderId="0" pivotButton="0" quotePrefix="0" xfId="0"/>
    <xf numFmtId="166" fontId="7" fillId="0" borderId="0" pivotButton="0" quotePrefix="0" xfId="0"/>
    <xf numFmtId="166" fontId="3" fillId="0" borderId="0" pivotButton="0" quotePrefix="0" xfId="0"/>
    <xf numFmtId="3" fontId="7" fillId="0" borderId="0" pivotButton="0" quotePrefix="0" xfId="0"/>
    <xf numFmtId="3" fontId="3" fillId="0" borderId="0" pivotButton="0" quotePrefix="0" xfId="0"/>
    <xf numFmtId="167" fontId="5" fillId="2" borderId="0" pivotButton="0" quotePrefix="0" xfId="0"/>
    <xf numFmtId="167" fontId="3" fillId="0" borderId="0" pivotButton="0" quotePrefix="0" xfId="0"/>
    <xf numFmtId="0" fontId="6" fillId="3" borderId="1" applyAlignment="1" pivotButton="0" quotePrefix="0" xfId="0">
      <alignment vertical="center" wrapText="1"/>
    </xf>
    <xf numFmtId="164" fontId="5" fillId="0" borderId="0" pivotButton="0" quotePrefix="0" xfId="0"/>
    <xf numFmtId="165" fontId="5" fillId="0" borderId="0" pivotButton="0" quotePrefix="0" xfId="0"/>
    <xf numFmtId="165" fontId="5" fillId="2" borderId="0" pivotButton="0" quotePrefix="0" xfId="0"/>
    <xf numFmtId="0" fontId="5" fillId="2" borderId="0" pivotButton="0" quotePrefix="0" xfId="0"/>
    <xf numFmtId="0" fontId="6" fillId="3" borderId="1" pivotButton="0" quotePrefix="0" xfId="0"/>
    <xf numFmtId="4" fontId="5" fillId="2" borderId="0" pivotButton="0" quotePrefix="0" xfId="0"/>
    <xf numFmtId="3" fontId="5" fillId="2" borderId="0" pivotButton="0" quotePrefix="0" xfId="0"/>
    <xf numFmtId="167" fontId="5" fillId="0" borderId="0" pivotButton="0" quotePrefix="0" xfId="0"/>
    <xf numFmtId="167" fontId="0" fillId="0" borderId="0" pivotButton="0" quotePrefix="0" xfId="0"/>
    <xf numFmtId="164" fontId="0" fillId="0" borderId="0" pivotButton="0" quotePrefix="0" xfId="0"/>
    <xf numFmtId="3" fontId="5" fillId="0" borderId="0" pivotButton="0" quotePrefix="0" xfId="0"/>
    <xf numFmtId="168" fontId="5" fillId="0" borderId="0" pivotButton="0" quotePrefix="0" xfId="0"/>
    <xf numFmtId="169" fontId="5" fillId="0" borderId="0" pivotButton="0" quotePrefix="0" xfId="0"/>
    <xf numFmtId="170" fontId="5" fillId="0" borderId="0" pivotButton="0" quotePrefix="0" xfId="0"/>
    <xf numFmtId="166" fontId="5" fillId="0" borderId="0" pivotButton="0" quotePrefix="0" xfId="0"/>
    <xf numFmtId="171" fontId="5" fillId="0" borderId="0" pivotButton="0" quotePrefix="0" xfId="0"/>
    <xf numFmtId="171" fontId="3" fillId="0" borderId="0" pivotButton="0" quotePrefix="0" xfId="0"/>
    <xf numFmtId="168" fontId="5" fillId="2" borderId="0" pivotButton="0" quotePrefix="0" xfId="0"/>
    <xf numFmtId="171" fontId="5" fillId="2" borderId="0" pivotButton="0" quotePrefix="0" xfId="0"/>
    <xf numFmtId="166" fontId="4" fillId="5" borderId="2" pivotButton="0" quotePrefix="0" xfId="0"/>
    <xf numFmtId="171" fontId="4" fillId="5" borderId="2" pivotButton="0" quotePrefix="0" xfId="0"/>
    <xf numFmtId="165" fontId="4" fillId="5" borderId="2" pivotButton="0" quotePrefix="0" xfId="0"/>
    <xf numFmtId="166" fontId="7" fillId="0" borderId="0" pivotButton="0" quotePrefix="0" xfId="0"/>
    <xf numFmtId="166" fontId="3" fillId="0" borderId="0" pivotButton="0" quotePrefix="0" xfId="0"/>
    <xf numFmtId="167" fontId="5" fillId="2" borderId="0" pivotButton="0" quotePrefix="0" xfId="0"/>
    <xf numFmtId="167" fontId="3" fillId="0" borderId="0" pivotButton="0" quotePrefix="0" xfId="0"/>
    <xf numFmtId="167" fontId="5" fillId="0" borderId="0" pivotButton="0" quotePrefix="0" xfId="0"/>
    <xf numFmtId="167" fontId="0" fillId="0" borderId="0" pivotButton="0" quotePrefix="0" xfId="0"/>
    <xf numFmtId="0" fontId="9" fillId="0" borderId="0" pivotButton="0" quotePrefix="0" xfId="0"/>
    <xf numFmtId="0" fontId="8" fillId="0" borderId="0" pivotButton="0" quotePrefix="0" xfId="0"/>
    <xf numFmtId="2" fontId="0" fillId="0" borderId="0" pivotButton="0" quotePrefix="0" xfId="0"/>
    <xf numFmtId="0" fontId="0" fillId="0" borderId="0" pivotButton="0" quotePrefix="0" xfId="0"/>
    <xf numFmtId="172" fontId="0" fillId="0" borderId="0" pivotButton="0" quotePrefix="0" xfId="0"/>
    <xf numFmtId="168" fontId="5" fillId="0" borderId="0" pivotButton="0" quotePrefix="0" xfId="0"/>
    <xf numFmtId="3" fontId="0" fillId="0" borderId="0" pivotButton="0" quotePrefix="0" xfId="0"/>
    <xf numFmtId="9" fontId="0" fillId="6" borderId="0" pivotButton="0" quotePrefix="0" xfId="0"/>
    <xf numFmtId="169" fontId="5" fillId="0" borderId="0" pivotButton="0" quotePrefix="0" xfId="0"/>
    <xf numFmtId="170" fontId="5" fillId="0" borderId="0" pivotButton="0" quotePrefix="0" xfId="0"/>
    <xf numFmtId="166" fontId="5" fillId="0" borderId="0" pivotButton="0" quotePrefix="0" xfId="0"/>
    <xf numFmtId="168" fontId="5" fillId="2" borderId="0" pivotButton="0" quotePrefix="0" xfId="0"/>
    <xf numFmtId="166" fontId="4" fillId="5"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Claude</author>
  </authors>
  <commentList>
    <comment ref="B21" authorId="0" shapeId="0">
      <text>
        <t>Ad spend in August: fill in if there was any.</t>
      </text>
    </comment>
    <comment ref="C21" authorId="0" shapeId="0">
      <text>
        <t>Ad spend in September: fill in if there was any.</t>
      </text>
    </comment>
    <comment ref="D21" authorId="0" shapeId="0">
      <text>
        <t>Matthew, 21 Oct 2026: ads are $6,066 a month (Fixed costs tab). For comparison, the Meta screenshots of 19-20 Oct showed $845.19 spent from 13 to 20 Oct.</t>
      </text>
    </comment>
    <comment ref="B49" authorId="0" shapeId="0">
      <text>
        <t>Change this date to see another week. 12 Oct = last week, the same week as the Stats page.</t>
      </text>
    </comment>
  </commentList>
</comments>
</file>

<file path=xl/comments/comment2.xml><?xml version="1.0" encoding="utf-8"?>
<comments xmlns="http://schemas.openxmlformats.org/spreadsheetml/2006/main">
  <authors>
    <author>Claude</author>
  </authors>
  <commentList>
    <comment ref="D5" authorId="0" shapeId="0">
      <text>
        <t>SiteOne Englewood invoice 2026-07-24: 6 x 50 lb LESCO Tuf-Turf Seed Mixture, $773.34 with tax.</t>
      </text>
    </comment>
    <comment ref="D6" authorId="0" shapeId="0">
      <text>
        <t>Same invoice.</t>
      </text>
    </comment>
    <comment ref="D7" authorId="0" shapeId="0">
      <text>
        <t>The app's middle seeding rate (Bryce's 2 to 4 lb range; CSU says 3 to 4 after aeration).</t>
      </text>
    </comment>
    <comment ref="D8" authorId="0" shapeId="0">
      <text>
        <t>Matthew, 21 Oct 2026: $40 for a 50 lb bag.</t>
      </text>
    </comment>
    <comment ref="D9" authorId="0" shapeId="0">
      <text>
        <t>Label.</t>
      </text>
    </comment>
    <comment ref="D10" authorId="0" shapeId="0">
      <text>
        <t>Label: a 50 lb bag covers about 12,000 sq ft.</t>
      </text>
    </comment>
    <comment ref="D11" authorId="0" shapeId="0">
      <text>
        <t>EIA weekly retail, Denver regular, week of 2026-10-19 (what the app uses for quotes).</t>
      </text>
    </comment>
    <comment ref="D12" authorId="0" shapeId="0">
      <text>
        <t>The app's setting (Matthew, 2026-10-15).</t>
      </text>
    </comment>
    <comment ref="D13" authorId="0" shapeId="0">
      <text>
        <t>The app's setting: roads are about 30% longer than a straight line.</t>
      </text>
    </comment>
    <comment ref="D14" authorId="0" shapeId="0">
      <text>
        <t>Matthew, 21 Oct 2026: a 20% employee cost on every job.</t>
      </text>
    </comment>
    <comment ref="R18" authorId="0" shapeId="0">
      <text>
        <t>Straight-line miles from the storage unit (the app's 365 base) to the house, from the app's map of the property.</t>
      </text>
    </comment>
    <comment ref="R19" authorId="0" shapeId="0">
      <text>
        <t>Straight-line miles from the storage unit (the app's 365 base) to the house, from the app's map of the property.</t>
      </text>
    </comment>
    <comment ref="R20" authorId="0" shapeId="0">
      <text>
        <t>Straight-line miles from the storage unit (the app's 365 base) to the house, from the app's map of the property.</t>
      </text>
    </comment>
    <comment ref="R22" authorId="0" shapeId="0">
      <text>
        <t>Straight-line miles from the storage unit (the app's 365 base) to the house, from the app's map of the property.</t>
      </text>
    </comment>
    <comment ref="R23" authorId="0" shapeId="0">
      <text>
        <t>Straight-line miles from the storage unit (the app's 365 base) to the house, from the app's map of the property.</t>
      </text>
    </comment>
    <comment ref="R24" authorId="0" shapeId="0">
      <text>
        <t>Straight-line miles from the storage unit (the app's 365 base) to the house, from the app's map of the property.</t>
      </text>
    </comment>
    <comment ref="R25" authorId="0" shapeId="0">
      <text>
        <t>Straight-line miles from the storage unit (the app's 365 base) to the house, from the app's map of the property.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44"/>
  <sheetViews>
    <sheetView showGridLines="0" workbookViewId="0">
      <selection activeCell="A1" sqref="A1"/>
    </sheetView>
  </sheetViews>
  <sheetFormatPr baseColWidth="8" defaultRowHeight="15"/>
  <cols>
    <col width="4" customWidth="1" style="63" min="1" max="1"/>
    <col width="110" customWidth="1" style="63" min="2" max="2"/>
  </cols>
  <sheetData>
    <row r="1">
      <c r="B1" s="1" t="inlineStr">
        <is>
          <t>Sixfold: expenses and profit</t>
        </is>
      </c>
    </row>
    <row r="2">
      <c r="B2" s="2" t="inlineStr">
        <is>
          <t>Built 21 Oct 2026. Covers Sixfold and 365 Aeration &amp; Seeding together; each job and payment is tagged with which one.</t>
        </is>
      </c>
    </row>
    <row r="3">
      <c r="B3" s="3" t="inlineStr"/>
    </row>
    <row r="4">
      <c r="B4" s="4" t="inlineStr">
        <is>
          <t>How to read the colours</t>
        </is>
      </c>
    </row>
    <row r="5">
      <c r="A5" s="5" t="n"/>
      <c r="B5" s="3" t="inlineStr">
        <is>
          <t>Yellow cell: only you know this. Type the number in. Totals and profit update on their own.</t>
        </is>
      </c>
    </row>
    <row r="6">
      <c r="A6" s="6" t="inlineStr">
        <is>
          <t>x</t>
        </is>
      </c>
      <c r="B6" s="3" t="inlineStr">
        <is>
          <t>Blue text: a number I put in from a record (Square, the app, the Spend Ledger, a receipt). Hover the cell for where it came from.</t>
        </is>
      </c>
    </row>
    <row r="7">
      <c r="B7" s="3" t="inlineStr">
        <is>
          <t>Black text: a formula. Leave these alone.</t>
        </is>
      </c>
    </row>
    <row r="8">
      <c r="B8" s="3" t="inlineStr"/>
    </row>
    <row r="9">
      <c r="B9" s="4" t="inlineStr">
        <is>
          <t>The tabs</t>
        </is>
      </c>
    </row>
    <row r="10">
      <c r="B10" s="3" t="inlineStr">
        <is>
          <t>Profit: money in, per-job costs, set costs, ads and net profit by month (Aug, Sep, Oct 2026), each business to date, and one week (pick the Monday).</t>
        </is>
      </c>
    </row>
    <row r="11">
      <c r="B11" s="3" t="inlineStr">
        <is>
          <t>Fixed costs: websites, software, storage, the truck, the aerator, the trailer card, insurance and ads. Monthly, weekly and yearly side by side.</t>
        </is>
      </c>
    </row>
    <row r="12">
      <c r="B12" s="3" t="inlineStr">
        <is>
          <t>Variable per job: every job with its seed, fertilizer, gas, card fees and the 20% employee cost, and what the job made.</t>
        </is>
      </c>
    </row>
    <row r="13">
      <c r="B13" s="3" t="inlineStr">
        <is>
          <t>Employees: pay not tied to a job (hourly or salary). The crew on each job is the 20% employee cost on the Variable per job tab.</t>
        </is>
      </c>
    </row>
    <row r="14">
      <c r="B14" s="3" t="inlineStr">
        <is>
          <t>Payments: every Square payment on both locations (365Aeration and Six Fold Colorado), with Square's fee.</t>
        </is>
      </c>
    </row>
    <row r="15">
      <c r="B15" s="3" t="inlineStr"/>
    </row>
    <row r="16">
      <c r="B16" s="4" t="inlineStr">
        <is>
          <t>Where the numbers came from</t>
        </is>
      </c>
    </row>
    <row r="17">
      <c r="B17" s="3" t="inlineStr">
        <is>
          <t>Websites, domains, hosting, Google Workspace: the Spend Ledger (the expenses tracker artifact, entries tagged Sixfold and 365).</t>
        </is>
      </c>
    </row>
    <row r="18">
      <c r="B18" s="3" t="inlineStr">
        <is>
          <t>Jobs, prices, crew, seed and fertilizer recorded: the Sixfold app, read on 21 Oct 2026.</t>
        </is>
      </c>
    </row>
    <row r="19">
      <c r="B19" s="3" t="inlineStr">
        <is>
          <t>Payments and card fees: Square, both locations, read on 21 Oct 2026. Square charged its fee on each card payment; those are the real fees, not a percentage.</t>
        </is>
      </c>
    </row>
    <row r="20">
      <c r="B20" s="3" t="inlineStr">
        <is>
          <t>Seed price: SiteOne Englewood invoice 24 Jul 2026, 6 x 50 lb LESCO Tuf-Turf for $773.34 with tax ($128.89 a bag).</t>
        </is>
      </c>
    </row>
    <row r="21">
      <c r="B21" s="3" t="inlineStr">
        <is>
          <t>Fertilizer price: $40 for a 50 lb bag (your figure, 21 Oct 2026), at LESCO 24-0-11's label rate.</t>
        </is>
      </c>
    </row>
    <row r="22">
      <c r="B22" s="3" t="inlineStr">
        <is>
          <t>Gas: EIA weekly Denver regular, $4.244 for the week of 19 Oct 2026 (the price the app uses), 18 mpg truck, drive = straight-line miles x 1.3, there and back.</t>
        </is>
      </c>
    </row>
    <row r="23">
      <c r="B23" s="3" t="inlineStr">
        <is>
          <t>Truck, ads, aerator, storage, the trailer credit card, the fertilizer price and the 20% employee cost: your figures, 21 Oct 2026.</t>
        </is>
      </c>
    </row>
    <row r="24">
      <c r="B24" s="3" t="inlineStr"/>
    </row>
    <row r="25">
      <c r="B25" s="4" t="inlineStr">
        <is>
          <t>Estimates, said plainly</t>
        </is>
      </c>
    </row>
    <row r="26">
      <c r="B26" s="3" t="inlineStr">
        <is>
          <t>Seed and fertilizer: where Jen recorded the pounds on the quote (Jeremy, Carlos, Randy) those are used. Everyone else is estimated from the lawn size at 3 lb seed per 1,000 sq ft (the app's middle rate) and LESCO's label rate. The lawn sizes come from the quote, or else the app's aerial estimate.</t>
        </is>
      </c>
    </row>
    <row r="27">
      <c r="B27" s="3" t="inlineStr">
        <is>
          <t>Gas is an estimate from miles, not a receipt. If you keep gas receipts, type the real figure in the "Gas override" column.</t>
        </is>
      </c>
    </row>
    <row r="28">
      <c r="B28" s="3" t="inlineStr">
        <is>
          <t>Money in is counted when it was paid. Job costs are counted in the month of the job. A deposit taken in one month for a job the next month shows up that way.</t>
        </is>
      </c>
    </row>
    <row r="29">
      <c r="B29" s="3" t="inlineStr">
        <is>
          <t>Russ and Eric each paid $200 on 16 Oct with the same fee, so which payment is whose does not change anything.</t>
        </is>
      </c>
    </row>
    <row r="30">
      <c r="B30" s="3" t="inlineStr"/>
    </row>
    <row r="31">
      <c r="B31" s="4" t="inlineStr">
        <is>
          <t>Questions I could not answer from the records (the yellow cells)</t>
        </is>
      </c>
    </row>
    <row r="32">
      <c r="B32" s="3" t="inlineStr">
        <is>
          <t>Answered 21 Oct: truck $1,000, ads $6,066, aerator $325, storage $414, trailer credit card $500 (all a month); fertilizer $40 a bag; employees 20% of every job.</t>
        </is>
      </c>
    </row>
    <row r="33">
      <c r="B33" s="3" t="inlineStr">
        <is>
          <t>3. Truck: does the $1,000 include insurance and registration?</t>
        </is>
      </c>
    </row>
    <row r="34">
      <c r="B34" s="3" t="inlineStr">
        <is>
          <t>4. Business insurance: premium, and is it monthly or yearly?</t>
        </is>
      </c>
    </row>
    <row r="35">
      <c r="B35" s="3" t="inlineStr">
        <is>
          <t>5. Pay not tied to a job: is anyone (Jen, Nneka, Cai) paid hourly or a salary on top of the 20% per job?</t>
        </is>
      </c>
    </row>
    <row r="36">
      <c r="B36" s="3" t="inlineStr">
        <is>
          <t>6. ClickUp, phone lines, anything else billed monthly that is not in the Spend Ledger.</t>
        </is>
      </c>
    </row>
    <row r="37">
      <c r="B37" s="3" t="inlineStr">
        <is>
          <t>7. The $1,125 check deposited to Six Fold Colorado's Square on 2 Sep: which job was it?</t>
        </is>
      </c>
    </row>
    <row r="38">
      <c r="B38" s="3" t="inlineStr">
        <is>
          <t>8. SiteGround hosts Surge's site too. Should Sixfold carry all of it ($359.88 a year) or a share? It is set to 100% for now.</t>
        </is>
      </c>
    </row>
    <row r="39">
      <c r="B39" s="3" t="inlineStr">
        <is>
          <t>9. Did ads run in August or September?</t>
        </is>
      </c>
    </row>
    <row r="40">
      <c r="B40" s="3" t="inlineStr">
        <is>
          <t>10. Materials for Kara's two jobs ($1,500 landscaping, $1,100 aeration) and Brian's lawn size: not recorded anywhere.</t>
        </is>
      </c>
    </row>
    <row r="41">
      <c r="B41" s="3" t="inlineStr"/>
    </row>
    <row r="42">
      <c r="B42" s="4" t="inlineStr">
        <is>
          <t>Left out on purpose</t>
        </is>
      </c>
    </row>
    <row r="43">
      <c r="B43" s="3" t="inlineStr">
        <is>
          <t>Kara's $250 monthly lawn visit (booked 19 Nov) is not counted: that agreement is not signed.</t>
        </is>
      </c>
    </row>
    <row r="44">
      <c r="B44" s="3" t="inlineStr">
        <is>
          <t>Surge and Traverse costs from the Spend Ledger (Claude, surgeftw.com, the Traverse server) are not Sixfold's and are not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46" customWidth="1" style="63" min="1" max="1"/>
    <col width="14" customWidth="1" style="63" min="2" max="2"/>
    <col width="14" customWidth="1" style="63" min="3" max="3"/>
    <col width="14" customWidth="1" style="63" min="4" max="4"/>
    <col width="14" customWidth="1" style="63" min="5" max="5"/>
    <col width="60" customWidth="1" style="63" min="6" max="6"/>
  </cols>
  <sheetData>
    <row r="1">
      <c r="A1" s="7" t="inlineStr">
        <is>
          <t>Sixfold profit</t>
        </is>
      </c>
    </row>
    <row r="2" ht="30" customHeight="1" s="63">
      <c r="A2" s="8" t="inlineStr">
        <is>
          <t>Money in is when Square took it. Job costs are in the month of the job (Done jobs only). October runs to the 21st. Yellow = still to fill in; until then those costs count as $0, so profit reads high.</t>
        </is>
      </c>
    </row>
    <row r="4">
      <c r="A4" s="9" t="inlineStr"/>
      <c r="B4" s="10" t="inlineStr">
        <is>
          <t>Aug 2026</t>
        </is>
      </c>
      <c r="C4" s="10" t="inlineStr">
        <is>
          <t>Sep 2026</t>
        </is>
      </c>
      <c r="D4" s="10" t="inlineStr">
        <is>
          <t>Oct 2026</t>
        </is>
      </c>
      <c r="E4" s="9" t="inlineStr">
        <is>
          <t>Total</t>
        </is>
      </c>
      <c r="F4" s="9" t="inlineStr">
        <is>
          <t>Where from</t>
        </is>
      </c>
    </row>
    <row r="5">
      <c r="A5" s="11" t="inlineStr">
        <is>
          <t>month key (do not edit)</t>
        </is>
      </c>
      <c r="B5" s="11" t="inlineStr">
        <is>
          <t>2026-08</t>
        </is>
      </c>
      <c r="C5" s="11" t="inlineStr">
        <is>
          <t>2026-09</t>
        </is>
      </c>
      <c r="D5" s="11" t="inlineStr">
        <is>
          <t>2026-10</t>
        </is>
      </c>
    </row>
    <row r="7">
      <c r="A7" s="12" t="inlineStr">
        <is>
          <t>Money in</t>
        </is>
      </c>
      <c r="B7" s="13" t="n"/>
      <c r="C7" s="13" t="n"/>
      <c r="D7" s="13" t="n"/>
      <c r="E7" s="13" t="n"/>
      <c r="F7" s="13" t="n"/>
    </row>
    <row r="8">
      <c r="A8" s="14" t="inlineStr">
        <is>
          <t>Payments received (after refunds)</t>
        </is>
      </c>
      <c r="B8" s="15">
        <f>SUMIFS(Payments!$I$5:$I$26,Payments!$B$5:$B$26,B$5)</f>
        <v/>
      </c>
      <c r="C8" s="15">
        <f>SUMIFS(Payments!$I$5:$I$26,Payments!$B$5:$B$26,C$5)</f>
        <v/>
      </c>
      <c r="D8" s="15">
        <f>SUMIFS(Payments!$I$5:$I$26,Payments!$B$5:$B$26,D$5)</f>
        <v/>
      </c>
      <c r="E8" s="16">
        <f>SUM(B8:D8)</f>
        <v/>
      </c>
      <c r="F8" s="11" t="inlineStr">
        <is>
          <t>Payments tab</t>
        </is>
      </c>
    </row>
    <row r="9">
      <c r="A9" s="14" t="inlineStr">
        <is>
          <t>Square fees</t>
        </is>
      </c>
      <c r="B9" s="15">
        <f>SUMIFS(Payments!$H$5:$H$26,Payments!$B$5:$B$26,B$5)</f>
        <v/>
      </c>
      <c r="C9" s="15">
        <f>SUMIFS(Payments!$H$5:$H$26,Payments!$B$5:$B$26,C$5)</f>
        <v/>
      </c>
      <c r="D9" s="15">
        <f>SUMIFS(Payments!$H$5:$H$26,Payments!$B$5:$B$26,D$5)</f>
        <v/>
      </c>
      <c r="E9" s="16">
        <f>SUM(B9:D9)</f>
        <v/>
      </c>
      <c r="F9" s="11" t="inlineStr">
        <is>
          <t>Payments tab: the fee Square took on each card payment</t>
        </is>
      </c>
    </row>
    <row r="10">
      <c r="A10" s="17" t="inlineStr">
        <is>
          <t>Money in after fees</t>
        </is>
      </c>
      <c r="B10" s="18">
        <f>B8-B9</f>
        <v/>
      </c>
      <c r="C10" s="18">
        <f>C8-C9</f>
        <v/>
      </c>
      <c r="D10" s="18">
        <f>D8-D9</f>
        <v/>
      </c>
      <c r="E10" s="18">
        <f>SUM(B10:D10)</f>
        <v/>
      </c>
      <c r="F10" s="11" t="inlineStr"/>
    </row>
    <row r="12">
      <c r="A12" s="12" t="inlineStr">
        <is>
          <t>Per-job costs (Done jobs)</t>
        </is>
      </c>
      <c r="B12" s="13" t="n"/>
      <c r="C12" s="13" t="n"/>
      <c r="D12" s="13" t="n"/>
      <c r="E12" s="13" t="n"/>
      <c r="F12" s="13" t="n"/>
    </row>
    <row r="13">
      <c r="A13" s="14" t="inlineStr">
        <is>
          <t>Seed</t>
        </is>
      </c>
      <c r="B13" s="15">
        <f>SUMIFS('Variable per job'!$N$16:$N$34,'Variable per job'!$AB$16:$AB$34,B$5,'Variable per job'!$E$16:$E$34,"Done")</f>
        <v/>
      </c>
      <c r="C13" s="15">
        <f>SUMIFS('Variable per job'!$N$16:$N$34,'Variable per job'!$AB$16:$AB$34,C$5,'Variable per job'!$E$16:$E$34,"Done")</f>
        <v/>
      </c>
      <c r="D13" s="15">
        <f>SUMIFS('Variable per job'!$N$16:$N$34,'Variable per job'!$AB$16:$AB$34,D$5,'Variable per job'!$E$16:$E$34,"Done")</f>
        <v/>
      </c>
      <c r="E13" s="16">
        <f>SUM(B13:D13)</f>
        <v/>
      </c>
      <c r="F13" s="11" t="inlineStr">
        <is>
          <t>Variable per job</t>
        </is>
      </c>
    </row>
    <row r="14">
      <c r="A14" s="14" t="inlineStr">
        <is>
          <t>Fertilizer</t>
        </is>
      </c>
      <c r="B14" s="15">
        <f>SUMIFS('Variable per job'!$Q$16:$Q$34,'Variable per job'!$AB$16:$AB$34,B$5,'Variable per job'!$E$16:$E$34,"Done")</f>
        <v/>
      </c>
      <c r="C14" s="15">
        <f>SUMIFS('Variable per job'!$Q$16:$Q$34,'Variable per job'!$AB$16:$AB$34,C$5,'Variable per job'!$E$16:$E$34,"Done")</f>
        <v/>
      </c>
      <c r="D14" s="15">
        <f>SUMIFS('Variable per job'!$Q$16:$Q$34,'Variable per job'!$AB$16:$AB$34,D$5,'Variable per job'!$E$16:$E$34,"Done")</f>
        <v/>
      </c>
      <c r="E14" s="16">
        <f>SUM(B14:D14)</f>
        <v/>
      </c>
      <c r="F14" s="11" t="inlineStr">
        <is>
          <t>Variable per job</t>
        </is>
      </c>
    </row>
    <row r="15">
      <c r="A15" s="14" t="inlineStr">
        <is>
          <t>Gas (truck + aerator)</t>
        </is>
      </c>
      <c r="B15" s="15">
        <f>SUMIFS('Variable per job'!$S$16:$S$34,'Variable per job'!$AB$16:$AB$34,B$5,'Variable per job'!$E$16:$E$34,"Done")+SUMIFS('Variable per job'!$AC$16:$AC$34,'Variable per job'!$AB$16:$AB$34,B$5,'Variable per job'!$E$16:$E$34,"Done")</f>
        <v/>
      </c>
      <c r="C15" s="15">
        <f>SUMIFS('Variable per job'!$S$16:$S$34,'Variable per job'!$AB$16:$AB$34,C$5,'Variable per job'!$E$16:$E$34,"Done")+SUMIFS('Variable per job'!$AC$16:$AC$34,'Variable per job'!$AB$16:$AB$34,C$5,'Variable per job'!$E$16:$E$34,"Done")</f>
        <v/>
      </c>
      <c r="D15" s="15">
        <f>SUMIFS('Variable per job'!$S$16:$S$34,'Variable per job'!$AB$16:$AB$34,D$5,'Variable per job'!$E$16:$E$34,"Done")+SUMIFS('Variable per job'!$AC$16:$AC$34,'Variable per job'!$AB$16:$AB$34,D$5,'Variable per job'!$E$16:$E$34,"Done")</f>
        <v/>
      </c>
      <c r="E15" s="16">
        <f>SUM(B15:D15)</f>
        <v/>
      </c>
      <c r="F15" s="11" t="inlineStr">
        <is>
          <t>Variable per job (estimate from miles unless overridden)</t>
        </is>
      </c>
    </row>
    <row r="16">
      <c r="A16" s="14" t="inlineStr">
        <is>
          <t>Other materials</t>
        </is>
      </c>
      <c r="B16" s="15">
        <f>SUMIFS('Variable per job'!$V$16:$V$34,'Variable per job'!$AB$16:$AB$34,B$5,'Variable per job'!$E$16:$E$34,"Done")</f>
        <v/>
      </c>
      <c r="C16" s="15">
        <f>SUMIFS('Variable per job'!$V$16:$V$34,'Variable per job'!$AB$16:$AB$34,C$5,'Variable per job'!$E$16:$E$34,"Done")</f>
        <v/>
      </c>
      <c r="D16" s="15">
        <f>SUMIFS('Variable per job'!$V$16:$V$34,'Variable per job'!$AB$16:$AB$34,D$5,'Variable per job'!$E$16:$E$34,"Done")</f>
        <v/>
      </c>
      <c r="E16" s="16">
        <f>SUM(B16:D16)</f>
        <v/>
      </c>
      <c r="F16" s="11" t="inlineStr">
        <is>
          <t>Variable per job</t>
        </is>
      </c>
    </row>
    <row r="17">
      <c r="A17" s="14" t="inlineStr">
        <is>
          <t>Employee cost (20% of each job)</t>
        </is>
      </c>
      <c r="B17" s="15">
        <f>SUMIFS('Variable per job'!$X$16:$X$34,'Variable per job'!$AB$16:$AB$34,B$5,'Variable per job'!$E$16:$E$34,"Done")</f>
        <v/>
      </c>
      <c r="C17" s="15">
        <f>SUMIFS('Variable per job'!$X$16:$X$34,'Variable per job'!$AB$16:$AB$34,C$5,'Variable per job'!$E$16:$E$34,"Done")</f>
        <v/>
      </c>
      <c r="D17" s="15">
        <f>SUMIFS('Variable per job'!$X$16:$X$34,'Variable per job'!$AB$16:$AB$34,D$5,'Variable per job'!$E$16:$E$34,"Done")</f>
        <v/>
      </c>
      <c r="E17" s="16">
        <f>SUM(B17:D17)</f>
        <v/>
      </c>
      <c r="F17" s="11" t="inlineStr">
        <is>
          <t>Variable per job: 20% of each job's price</t>
        </is>
      </c>
    </row>
    <row r="18">
      <c r="A18" s="17" t="inlineStr">
        <is>
          <t>Per-job costs</t>
        </is>
      </c>
      <c r="B18" s="18">
        <f>SUM(B13:B17)</f>
        <v/>
      </c>
      <c r="C18" s="18">
        <f>SUM(C13:C17)</f>
        <v/>
      </c>
      <c r="D18" s="18">
        <f>SUM(D13:D17)</f>
        <v/>
      </c>
      <c r="E18" s="18">
        <f>SUM(B18:D18)</f>
        <v/>
      </c>
      <c r="F18" s="11" t="inlineStr"/>
    </row>
    <row r="20">
      <c r="A20" s="12" t="inlineStr">
        <is>
          <t>Running costs</t>
        </is>
      </c>
      <c r="B20" s="13" t="n"/>
      <c r="C20" s="13" t="n"/>
      <c r="D20" s="13" t="n"/>
      <c r="E20" s="13" t="n"/>
      <c r="F20" s="13" t="n"/>
    </row>
    <row r="21">
      <c r="A21" s="14" t="inlineStr">
        <is>
          <t>Ad spend (Meta)</t>
        </is>
      </c>
      <c r="B21" s="19" t="n"/>
      <c r="C21" s="19" t="n"/>
      <c r="D21" s="15">
        <f>'Fixed costs'!$G$26</f>
        <v/>
      </c>
      <c r="E21" s="16">
        <f>SUM(B21:D21)</f>
        <v/>
      </c>
      <c r="F21" s="11" t="inlineStr">
        <is>
          <t>October: $6,066 a month (Fixed costs tab). Aug and Sep: fill in if ads ran.</t>
        </is>
      </c>
    </row>
    <row r="22">
      <c r="A22" s="14" t="inlineStr">
        <is>
          <t>Count set costs this month? (1 yes, 0 no)</t>
        </is>
      </c>
      <c r="B22" s="20" t="n">
        <v>1</v>
      </c>
      <c r="C22" s="20" t="n">
        <v>1</v>
      </c>
      <c r="D22" s="20" t="n">
        <v>1</v>
      </c>
      <c r="F22" s="11" t="inlineStr">
        <is>
          <t>Set a month to 0 if the business was not paying these yet.</t>
        </is>
      </c>
    </row>
    <row r="23">
      <c r="A23" s="14" t="inlineStr">
        <is>
          <t>Set costs (truck, storage, aerator, card, software)</t>
        </is>
      </c>
      <c r="B23" s="15">
        <f>('Fixed costs'!$G$31-'Fixed costs'!$G$26)*B22</f>
        <v/>
      </c>
      <c r="C23" s="15">
        <f>('Fixed costs'!$G$31-'Fixed costs'!$G$26)*C22</f>
        <v/>
      </c>
      <c r="D23" s="15">
        <f>('Fixed costs'!$G$31-'Fixed costs'!$G$26)*D22</f>
        <v/>
      </c>
      <c r="E23" s="16">
        <f>SUM(B23:D23)</f>
        <v/>
      </c>
      <c r="F23" s="11" t="inlineStr">
        <is>
          <t>Fixed costs tab: monthly total without ads</t>
        </is>
      </c>
    </row>
    <row r="24">
      <c r="A24" s="14" t="inlineStr">
        <is>
          <t>Pay not tied to a job (hourly, salary)</t>
        </is>
      </c>
      <c r="B24" s="15">
        <f>Employees!$G$12*B22</f>
        <v/>
      </c>
      <c r="C24" s="15">
        <f>Employees!$G$12*C22</f>
        <v/>
      </c>
      <c r="D24" s="15">
        <f>Employees!$G$12*D22</f>
        <v/>
      </c>
      <c r="E24" s="16">
        <f>SUM(B24:D24)</f>
        <v/>
      </c>
      <c r="F24" s="11" t="inlineStr">
        <is>
          <t>Employees tab</t>
        </is>
      </c>
    </row>
    <row r="25">
      <c r="A25" s="14" t="inlineStr">
        <is>
          <t>One-off purchases</t>
        </is>
      </c>
      <c r="B25" s="15">
        <f>SUMIFS('Fixed costs'!$C$36:$C$41,'Fixed costs'!$D$36:$D$41,B$5)</f>
        <v/>
      </c>
      <c r="C25" s="15">
        <f>SUMIFS('Fixed costs'!$C$36:$C$41,'Fixed costs'!$D$36:$D$41,C$5)</f>
        <v/>
      </c>
      <c r="D25" s="15">
        <f>SUMIFS('Fixed costs'!$C$36:$C$41,'Fixed costs'!$D$36:$D$41,D$5)</f>
        <v/>
      </c>
      <c r="E25" s="16">
        <f>SUM(B25:D25)</f>
        <v/>
      </c>
      <c r="F25" s="11" t="inlineStr">
        <is>
          <t>Fixed costs tab, one-off purchases table</t>
        </is>
      </c>
    </row>
    <row r="26">
      <c r="A26" s="17" t="inlineStr">
        <is>
          <t>Running costs</t>
        </is>
      </c>
      <c r="B26" s="18">
        <f>SUM(B21,B23:B25)</f>
        <v/>
      </c>
      <c r="C26" s="18">
        <f>SUM(C21,C23:C25)</f>
        <v/>
      </c>
      <c r="D26" s="18">
        <f>SUM(D21,D23:D25)</f>
        <v/>
      </c>
      <c r="E26" s="18">
        <f>SUM(E21,E23:E25)</f>
        <v/>
      </c>
    </row>
    <row r="28">
      <c r="A28" s="21" t="inlineStr">
        <is>
          <t>Net profit</t>
        </is>
      </c>
      <c r="B28" s="22">
        <f>B10-B18-B26</f>
        <v/>
      </c>
      <c r="C28" s="22">
        <f>C10-C18-C26</f>
        <v/>
      </c>
      <c r="D28" s="22">
        <f>D10-D18-D26</f>
        <v/>
      </c>
      <c r="E28" s="22">
        <f>E10-E18-E26</f>
        <v/>
      </c>
      <c r="F28" s="23" t="n"/>
    </row>
    <row r="29">
      <c r="A29" s="14" t="inlineStr">
        <is>
          <t>Net margin (profit / money in)</t>
        </is>
      </c>
      <c r="B29" s="24">
        <f>IF(B8&lt;100,"",B28/B8)</f>
        <v/>
      </c>
      <c r="C29" s="24">
        <f>IF(C8&lt;100,"",C28/C8)</f>
        <v/>
      </c>
      <c r="D29" s="24">
        <f>IF(D8&lt;100,"",D28/D8)</f>
        <v/>
      </c>
      <c r="E29" s="24">
        <f>IF(E8&lt;100,"",E28/E8)</f>
        <v/>
      </c>
    </row>
    <row r="31">
      <c r="A31" s="12" t="inlineStr">
        <is>
          <t>Still to come in</t>
        </is>
      </c>
      <c r="B31" s="13" t="n"/>
      <c r="C31" s="13" t="n"/>
      <c r="D31" s="13" t="n"/>
      <c r="E31" s="13" t="n"/>
      <c r="F31" s="13" t="n"/>
    </row>
    <row r="32">
      <c r="A32" s="14" t="inlineStr">
        <is>
          <t>Owed on Done jobs</t>
        </is>
      </c>
      <c r="B32" s="54">
        <f>SUMIFS('Variable per job'!$I$16:$I$34,'Variable per job'!$E$16:$E$34,"Done")</f>
        <v/>
      </c>
      <c r="C32" s="11" t="inlineStr">
        <is>
          <t>Brian S. owes $200</t>
        </is>
      </c>
    </row>
    <row r="33">
      <c r="A33" s="14" t="inlineStr">
        <is>
          <t>Booked jobs: price</t>
        </is>
      </c>
      <c r="B33" s="54">
        <f>SUMIFS('Variable per job'!$G$16:$G$34,'Variable per job'!$E$16:$E$34,"Booked")</f>
        <v/>
      </c>
      <c r="C33" s="11" t="inlineStr">
        <is>
          <t>Sreenivas (23 Oct) and Joseph (30 Oct)</t>
        </is>
      </c>
    </row>
    <row r="34">
      <c r="A34" s="14" t="inlineStr">
        <is>
          <t>Booked jobs: deposits already in</t>
        </is>
      </c>
      <c r="B34" s="54">
        <f>SUMIFS('Variable per job'!$H$16:$H$34,'Variable per job'!$E$16:$E$34,"Booked")</f>
        <v/>
      </c>
    </row>
    <row r="35">
      <c r="A35" s="14" t="inlineStr">
        <is>
          <t>Booked jobs: still to collect</t>
        </is>
      </c>
      <c r="B35" s="55">
        <f>B33-B34</f>
        <v/>
      </c>
    </row>
    <row r="37">
      <c r="A37" s="12" t="inlineStr">
        <is>
          <t>Each business to date (Done jobs, before running costs)</t>
        </is>
      </c>
      <c r="B37" s="13" t="n"/>
      <c r="C37" s="13" t="n"/>
      <c r="D37" s="13" t="n"/>
      <c r="E37" s="13" t="n"/>
      <c r="F37" s="13" t="n"/>
    </row>
    <row r="38">
      <c r="A38" s="9" t="n"/>
      <c r="B38" s="9" t="inlineStr">
        <is>
          <t>Sixfold</t>
        </is>
      </c>
      <c r="C38" s="9" t="inlineStr">
        <is>
          <t>365</t>
        </is>
      </c>
      <c r="D38" s="9" t="inlineStr">
        <is>
          <t>Both</t>
        </is>
      </c>
    </row>
    <row r="39">
      <c r="A39" s="14" t="inlineStr">
        <is>
          <t>Jobs done</t>
        </is>
      </c>
      <c r="B39" s="27">
        <f>COUNTIFS('Variable per job'!$E$16:$E$34,"Done",'Variable per job'!$C$16:$C$34,"Sixfold")</f>
        <v/>
      </c>
      <c r="C39" s="27">
        <f>COUNTIFS('Variable per job'!$E$16:$E$34,"Done",'Variable per job'!$C$16:$C$34,"365")</f>
        <v/>
      </c>
      <c r="D39" s="28">
        <f>B39+C39</f>
        <v/>
      </c>
    </row>
    <row r="40">
      <c r="A40" s="14" t="inlineStr">
        <is>
          <t>Job prices</t>
        </is>
      </c>
      <c r="B40" s="54">
        <f>SUMIFS('Variable per job'!$G$16:$G$34,'Variable per job'!$E$16:$E$34,"Done",'Variable per job'!$C$16:$C$34,"Sixfold")</f>
        <v/>
      </c>
      <c r="C40" s="54">
        <f>SUMIFS('Variable per job'!$G$16:$G$34,'Variable per job'!$E$16:$E$34,"Done",'Variable per job'!$C$16:$C$34,"365")</f>
        <v/>
      </c>
      <c r="D40" s="55">
        <f>B40+C40</f>
        <v/>
      </c>
    </row>
    <row r="41">
      <c r="A41" s="14" t="inlineStr">
        <is>
          <t>Per-job costs (materials, gas, fees, crew)</t>
        </is>
      </c>
      <c r="B41" s="15">
        <f>SUMIFS('Variable per job'!$Y$16:$Y$34,'Variable per job'!$E$16:$E$34,"Done",'Variable per job'!$C$16:$C$34,"Sixfold")</f>
        <v/>
      </c>
      <c r="C41" s="15">
        <f>SUMIFS('Variable per job'!$Y$16:$Y$34,'Variable per job'!$E$16:$E$34,"Done",'Variable per job'!$C$16:$C$34,"365")</f>
        <v/>
      </c>
      <c r="D41" s="16">
        <f>B41+C41</f>
        <v/>
      </c>
    </row>
    <row r="42">
      <c r="A42" s="17" t="inlineStr">
        <is>
          <t>Job profit</t>
        </is>
      </c>
      <c r="B42" s="18">
        <f>B40-B41</f>
        <v/>
      </c>
      <c r="C42" s="18">
        <f>C40-C41</f>
        <v/>
      </c>
      <c r="D42" s="18">
        <f>D40-D41</f>
        <v/>
      </c>
    </row>
    <row r="43">
      <c r="A43" s="14" t="inlineStr">
        <is>
          <t>Margin</t>
        </is>
      </c>
      <c r="B43" s="24">
        <f>IF(B40=0,0,B42/B40)</f>
        <v/>
      </c>
      <c r="C43" s="24">
        <f>IF(C40=0,0,C42/C40)</f>
        <v/>
      </c>
      <c r="D43" s="24">
        <f>IF(D40=0,0,D42/D40)</f>
        <v/>
      </c>
    </row>
    <row r="44">
      <c r="A44" s="14" t="inlineStr">
        <is>
          <t>Average price per job</t>
        </is>
      </c>
      <c r="B44" s="55">
        <f>IF(B39=0,0,B40/B39)</f>
        <v/>
      </c>
      <c r="C44" s="55">
        <f>IF(C39=0,0,C40/C39)</f>
        <v/>
      </c>
      <c r="D44" s="55">
        <f>IF(D39=0,0,D40/D39)</f>
        <v/>
      </c>
    </row>
    <row r="46">
      <c r="A46" s="11" t="inlineStr">
        <is>
          <t>Per-job costs include the 20% employee cost. Margin is left blank in a month with under $100 in.</t>
        </is>
      </c>
    </row>
    <row r="48">
      <c r="A48" s="12" t="inlineStr">
        <is>
          <t>One week</t>
        </is>
      </c>
      <c r="B48" s="13" t="n"/>
      <c r="C48" s="13" t="n"/>
      <c r="D48" s="13" t="n"/>
      <c r="E48" s="13" t="n"/>
      <c r="F48" s="13" t="n"/>
    </row>
    <row r="49">
      <c r="A49" s="14" t="inlineStr">
        <is>
          <t>Week starting (a Monday)</t>
        </is>
      </c>
      <c r="B49" s="56" t="n">
        <v>46307</v>
      </c>
      <c r="C49" s="57">
        <f>B49+6</f>
        <v/>
      </c>
      <c r="D49" s="11" t="inlineStr">
        <is>
          <t>Sunday</t>
        </is>
      </c>
    </row>
    <row r="50">
      <c r="A50" s="14" t="inlineStr">
        <is>
          <t>Jobs done</t>
        </is>
      </c>
      <c r="B50" s="27">
        <f>COUNTIFS('Variable per job'!$E$16:$E$34,"Done",'Variable per job'!$A$16:$A$34,"&gt;="&amp;$B$49,'Variable per job'!$A$16:$A$34,"&lt;="&amp;$C$49)</f>
        <v/>
      </c>
    </row>
    <row r="51">
      <c r="A51" s="14" t="inlineStr">
        <is>
          <t>Job prices</t>
        </is>
      </c>
      <c r="B51" s="15">
        <f>SUMIFS('Variable per job'!$G$16:$G$34,'Variable per job'!$A$16:$A$34,"&gt;="&amp;$B$49,'Variable per job'!$A$16:$A$34,"&lt;="&amp;$C$49,'Variable per job'!$E$16:$E$34,"Done")</f>
        <v/>
      </c>
    </row>
    <row r="52">
      <c r="A52" s="14" t="inlineStr">
        <is>
          <t>Per-job costs (seed, fertilizer, gas, Square fees, 20% employee cost)</t>
        </is>
      </c>
      <c r="B52" s="15">
        <f>SUMIFS('Variable per job'!$Y$16:$Y$34,'Variable per job'!$A$16:$A$34,"&gt;="&amp;$B$49,'Variable per job'!$A$16:$A$34,"&lt;="&amp;$C$49,'Variable per job'!$E$16:$E$34,"Done")</f>
        <v/>
      </c>
    </row>
    <row r="53">
      <c r="A53" s="14" t="inlineStr">
        <is>
          <t>Set costs for a week (truck, storage, aerator, card, software)</t>
        </is>
      </c>
      <c r="B53" s="15">
        <f>'Fixed costs'!$H$31-'Fixed costs'!$H$26</f>
        <v/>
      </c>
    </row>
    <row r="54">
      <c r="A54" s="14" t="inlineStr">
        <is>
          <t>Ads for a week</t>
        </is>
      </c>
      <c r="B54" s="15">
        <f>'Fixed costs'!$H$26</f>
        <v/>
      </c>
    </row>
    <row r="55">
      <c r="A55" s="14" t="inlineStr">
        <is>
          <t>Pay not tied to a job, for a week</t>
        </is>
      </c>
      <c r="B55" s="15">
        <f>Employees!$G$12*12/52</f>
        <v/>
      </c>
    </row>
    <row r="56">
      <c r="A56" s="21" t="inlineStr">
        <is>
          <t>Profit for the week</t>
        </is>
      </c>
      <c r="B56" s="22">
        <f>B51-B52-B53-B54-B55</f>
        <v/>
      </c>
      <c r="C56" s="23" t="n"/>
      <c r="D56" s="23" t="n"/>
      <c r="E56" s="23" t="n"/>
      <c r="F56" s="23" t="n"/>
    </row>
    <row r="57">
      <c r="A57" s="11" t="inlineStr">
        <is>
          <t>A week = a month x 12 / 52.</t>
        </is>
      </c>
    </row>
  </sheetData>
  <mergeCells count="1">
    <mergeCell ref="A2:F2"/>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41"/>
  <sheetViews>
    <sheetView showGridLines="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6" customWidth="1" style="63" min="1" max="1"/>
    <col width="22" customWidth="1" style="63" min="2" max="2"/>
    <col width="11" customWidth="1" style="63" min="3" max="3"/>
    <col width="14" customWidth="1" style="63" min="4" max="4"/>
    <col width="11" customWidth="1" style="63" min="5" max="5"/>
    <col width="11" customWidth="1" style="63" min="6" max="6"/>
    <col width="14" customWidth="1" style="63" min="7" max="7"/>
    <col width="13" customWidth="1" style="63" min="8" max="8"/>
    <col width="14" customWidth="1" style="63" min="9" max="9"/>
    <col width="13" customWidth="1" style="63" min="10" max="10"/>
    <col width="70" customWidth="1" style="63" min="11" max="11"/>
  </cols>
  <sheetData>
    <row r="1">
      <c r="A1" s="7" t="inlineStr">
        <is>
          <t>Fixed costs</t>
        </is>
      </c>
    </row>
    <row r="2">
      <c r="A2" s="11" t="inlineStr">
        <is>
          <t>What Sixfold pays whether or not there is a job. Monthly cost = the bill turned into a month, times Sixfold's share; weekly = monthly x 12 / 52. Status "Planned" or "Stopped" counts as 0.</t>
        </is>
      </c>
    </row>
    <row r="4" ht="32" customHeight="1" s="63">
      <c r="A4" s="31" t="inlineStr">
        <is>
          <t>Item</t>
        </is>
      </c>
      <c r="B4" s="31" t="inlineStr">
        <is>
          <t>Vendor</t>
        </is>
      </c>
      <c r="C4" s="31" t="inlineStr">
        <is>
          <t>Billed</t>
        </is>
      </c>
      <c r="D4" s="31" t="inlineStr">
        <is>
          <t>Amount per bill ($)</t>
        </is>
      </c>
      <c r="E4" s="31" t="inlineStr">
        <is>
          <t>Status</t>
        </is>
      </c>
      <c r="F4" s="31" t="inlineStr">
        <is>
          <t>Sixfold share</t>
        </is>
      </c>
      <c r="G4" s="31" t="inlineStr">
        <is>
          <t>Monthly cost ($)</t>
        </is>
      </c>
      <c r="H4" s="31" t="inlineStr">
        <is>
          <t>Weekly cost ($)</t>
        </is>
      </c>
      <c r="I4" s="31" t="inlineStr">
        <is>
          <t>Yearly cost ($)</t>
        </is>
      </c>
      <c r="J4" s="31" t="inlineStr">
        <is>
          <t>Renews / next</t>
        </is>
      </c>
      <c r="K4" s="31" t="inlineStr">
        <is>
          <t>Where the number came from</t>
        </is>
      </c>
    </row>
    <row r="5">
      <c r="A5" s="12" t="inlineStr">
        <is>
          <t>Websites, software and platforms</t>
        </is>
      </c>
      <c r="B5" s="13" t="n"/>
      <c r="C5" s="13" t="n"/>
      <c r="D5" s="13" t="n"/>
      <c r="E5" s="13" t="n"/>
      <c r="F5" s="13" t="n"/>
      <c r="G5" s="13" t="n"/>
      <c r="H5" s="13" t="n"/>
      <c r="I5" s="13" t="n"/>
      <c r="J5" s="13" t="n"/>
      <c r="K5" s="13" t="n"/>
    </row>
    <row r="6">
      <c r="A6" s="14" t="inlineStr">
        <is>
          <t>sixfoldcolorado.com domain</t>
        </is>
      </c>
      <c r="B6" s="14" t="inlineStr">
        <is>
          <t>Squarespace</t>
        </is>
      </c>
      <c r="C6" s="6" t="inlineStr">
        <is>
          <t>Yearly</t>
        </is>
      </c>
      <c r="D6" s="32" t="n">
        <v>20</v>
      </c>
      <c r="E6" s="6" t="inlineStr">
        <is>
          <t>Active</t>
        </is>
      </c>
      <c r="F6" s="33" t="n">
        <v>1</v>
      </c>
      <c r="G6" s="16">
        <f>IF(E6="Active",IF(C6="Monthly",N(D6),IF(C6="Quarterly",N(D6)/3,IF(C6="Yearly",N(D6)/12,0))),0)*F6</f>
        <v/>
      </c>
      <c r="H6" s="16">
        <f>G6*12/52</f>
        <v/>
      </c>
      <c r="I6" s="16">
        <f>G6*12</f>
        <v/>
      </c>
      <c r="J6" s="6" t="inlineStr">
        <is>
          <t>2027-08-21</t>
        </is>
      </c>
      <c r="K6" s="11" t="inlineStr">
        <is>
          <t>Spend Ledger artifact (first year was about $18)</t>
        </is>
      </c>
    </row>
    <row r="7">
      <c r="A7" s="14" t="inlineStr">
        <is>
          <t>365aeration.com domain</t>
        </is>
      </c>
      <c r="B7" s="14" t="inlineStr">
        <is>
          <t>Squarespace</t>
        </is>
      </c>
      <c r="C7" s="6" t="inlineStr">
        <is>
          <t>Yearly</t>
        </is>
      </c>
      <c r="D7" s="32" t="n">
        <v>20</v>
      </c>
      <c r="E7" s="6" t="inlineStr">
        <is>
          <t>Active</t>
        </is>
      </c>
      <c r="F7" s="33" t="n">
        <v>1</v>
      </c>
      <c r="G7" s="16">
        <f>IF(E7="Active",IF(C7="Monthly",N(D7),IF(C7="Quarterly",N(D7)/3,IF(C7="Yearly",N(D7)/12,0))),0)*F7</f>
        <v/>
      </c>
      <c r="H7" s="16">
        <f>G7*12/52</f>
        <v/>
      </c>
      <c r="I7" s="16">
        <f>G7*12</f>
        <v/>
      </c>
      <c r="J7" s="6" t="inlineStr">
        <is>
          <t>2027-10-14</t>
        </is>
      </c>
      <c r="K7" s="11" t="inlineStr">
        <is>
          <t>Spend Ledger artifact: the main 365 address</t>
        </is>
      </c>
    </row>
    <row r="8">
      <c r="A8" s="14" t="inlineStr">
        <is>
          <t>aeration365.com domain</t>
        </is>
      </c>
      <c r="B8" s="14" t="inlineStr">
        <is>
          <t>Squarespace</t>
        </is>
      </c>
      <c r="C8" s="6" t="inlineStr">
        <is>
          <t>Yearly</t>
        </is>
      </c>
      <c r="D8" s="32" t="n">
        <v>20</v>
      </c>
      <c r="E8" s="6" t="inlineStr">
        <is>
          <t>Active</t>
        </is>
      </c>
      <c r="F8" s="33" t="n">
        <v>1</v>
      </c>
      <c r="G8" s="16">
        <f>IF(E8="Active",IF(C8="Monthly",N(D8),IF(C8="Quarterly",N(D8)/3,IF(C8="Yearly",N(D8)/12,0))),0)*F8</f>
        <v/>
      </c>
      <c r="H8" s="16">
        <f>G8*12/52</f>
        <v/>
      </c>
      <c r="I8" s="16">
        <f>G8*12</f>
        <v/>
      </c>
      <c r="J8" s="6" t="inlineStr">
        <is>
          <t>2027-10-14</t>
        </is>
      </c>
      <c r="K8" s="11" t="inlineStr">
        <is>
          <t>Spend Ledger artifact: kept so the mistyped address forwards; 365 email sits on it</t>
        </is>
      </c>
    </row>
    <row r="9">
      <c r="A9" s="14" t="inlineStr">
        <is>
          <t>SiteGround hosting: Sixfold, 365 and Surge sites</t>
        </is>
      </c>
      <c r="B9" s="14" t="inlineStr">
        <is>
          <t>SiteGround</t>
        </is>
      </c>
      <c r="C9" s="6" t="inlineStr">
        <is>
          <t>Yearly</t>
        </is>
      </c>
      <c r="D9" s="32" t="n">
        <v>359.88</v>
      </c>
      <c r="E9" s="6" t="inlineStr">
        <is>
          <t>Active</t>
        </is>
      </c>
      <c r="F9" s="34" t="n">
        <v>1</v>
      </c>
      <c r="G9" s="16">
        <f>IF(E9="Active",IF(C9="Monthly",N(D9),IF(C9="Quarterly",N(D9)/3,IF(C9="Yearly",N(D9)/12,0))),0)*F9</f>
        <v/>
      </c>
      <c r="H9" s="16">
        <f>G9*12/52</f>
        <v/>
      </c>
      <c r="I9" s="16">
        <f>G9*12</f>
        <v/>
      </c>
      <c r="J9" s="6" t="inlineStr">
        <is>
          <t>2027-09-02</t>
        </is>
      </c>
      <c r="K9" s="11" t="inlineStr">
        <is>
          <t>Spend Ledger artifact. Hosts Surge's site too: set Sixfold's share (100% for now).</t>
        </is>
      </c>
    </row>
    <row r="10">
      <c r="A10" s="14" t="inlineStr">
        <is>
          <t>Google Workspace, sixfoldcolorado.com (4 mailboxes)</t>
        </is>
      </c>
      <c r="B10" s="14" t="inlineStr">
        <is>
          <t>Google via Squarespace</t>
        </is>
      </c>
      <c r="C10" s="6" t="inlineStr">
        <is>
          <t>Monthly</t>
        </is>
      </c>
      <c r="D10" s="32" t="n">
        <v>33.6</v>
      </c>
      <c r="E10" s="6" t="inlineStr">
        <is>
          <t>Active</t>
        </is>
      </c>
      <c r="F10" s="33" t="n">
        <v>1</v>
      </c>
      <c r="G10" s="16">
        <f>IF(E10="Active",IF(C10="Monthly",N(D10),IF(C10="Quarterly",N(D10)/3,IF(C10="Yearly",N(D10)/12,0))),0)*F10</f>
        <v/>
      </c>
      <c r="H10" s="16">
        <f>G10*12/52</f>
        <v/>
      </c>
      <c r="I10" s="16">
        <f>G10*12</f>
        <v/>
      </c>
      <c r="J10" s="6" t="inlineStr">
        <is>
          <t>21st</t>
        </is>
      </c>
      <c r="K10" s="11" t="inlineStr">
        <is>
          <t>Spend Ledger artifact: Starter plan</t>
        </is>
      </c>
    </row>
    <row r="11">
      <c r="A11" s="14" t="inlineStr">
        <is>
          <t>Google Workspace, aeration365.com (Jen's mailbox)</t>
        </is>
      </c>
      <c r="B11" s="14" t="inlineStr">
        <is>
          <t>Google via Squarespace</t>
        </is>
      </c>
      <c r="C11" s="6" t="inlineStr">
        <is>
          <t>Monthly</t>
        </is>
      </c>
      <c r="D11" s="32" t="n">
        <v>8.4</v>
      </c>
      <c r="E11" s="6" t="inlineStr">
        <is>
          <t>Active</t>
        </is>
      </c>
      <c r="F11" s="33" t="n">
        <v>1</v>
      </c>
      <c r="G11" s="16">
        <f>IF(E11="Active",IF(C11="Monthly",N(D11),IF(C11="Quarterly",N(D11)/3,IF(C11="Yearly",N(D11)/12,0))),0)*F11</f>
        <v/>
      </c>
      <c r="H11" s="16">
        <f>G11*12/52</f>
        <v/>
      </c>
      <c r="I11" s="16">
        <f>G11*12</f>
        <v/>
      </c>
      <c r="J11" s="6" t="inlineStr">
        <is>
          <t>14th</t>
        </is>
      </c>
      <c r="K11" s="11" t="inlineStr">
        <is>
          <t>Spend Ledger artifact</t>
        </is>
      </c>
    </row>
    <row r="12">
      <c r="A12" s="14" t="inlineStr">
        <is>
          <t>Google Workspace seat, forms@aeration365.com (app emails)</t>
        </is>
      </c>
      <c r="B12" s="14" t="inlineStr">
        <is>
          <t>Google via Squarespace</t>
        </is>
      </c>
      <c r="C12" s="6" t="inlineStr">
        <is>
          <t>Monthly</t>
        </is>
      </c>
      <c r="D12" s="32" t="n">
        <v>8.4</v>
      </c>
      <c r="E12" s="35" t="inlineStr">
        <is>
          <t>Planned</t>
        </is>
      </c>
      <c r="F12" s="33" t="n">
        <v>1</v>
      </c>
      <c r="G12" s="16">
        <f>IF(E12="Active",IF(C12="Monthly",N(D12),IF(C12="Quarterly",N(D12)/3,IF(C12="Yearly",N(D12)/12,0))),0)*F12</f>
        <v/>
      </c>
      <c r="H12" s="16">
        <f>G12*12/52</f>
        <v/>
      </c>
      <c r="I12" s="16">
        <f>G12*12</f>
        <v/>
      </c>
      <c r="J12" s="6" t="inlineStr"/>
      <c r="K12" s="11" t="inlineStr">
        <is>
          <t>Spend Ledger artifact says Planned (card declined 18 Oct). Set Active once it bills.</t>
        </is>
      </c>
    </row>
    <row r="13">
      <c r="A13" s="14" t="inlineStr">
        <is>
          <t>ClickUp (Jen's lead list)</t>
        </is>
      </c>
      <c r="B13" s="14" t="inlineStr">
        <is>
          <t>ClickUp</t>
        </is>
      </c>
      <c r="C13" s="6" t="inlineStr">
        <is>
          <t>Monthly</t>
        </is>
      </c>
      <c r="D13" s="19" t="n"/>
      <c r="E13" s="6" t="inlineStr">
        <is>
          <t>Active</t>
        </is>
      </c>
      <c r="F13" s="33" t="n">
        <v>1</v>
      </c>
      <c r="G13" s="16">
        <f>IF(E13="Active",IF(C13="Monthly",N(D13),IF(C13="Quarterly",N(D13)/3,IF(C13="Yearly",N(D13)/12,0))),0)*F13</f>
        <v/>
      </c>
      <c r="H13" s="16">
        <f>G13*12/52</f>
        <v/>
      </c>
      <c r="I13" s="16">
        <f>G13*12</f>
        <v/>
      </c>
      <c r="J13" s="6" t="inlineStr"/>
      <c r="K13" s="11" t="inlineStr">
        <is>
          <t>Not in the ledger: fill in, or set Stopped if it is free.</t>
        </is>
      </c>
    </row>
    <row r="14">
      <c r="A14" s="14" t="inlineStr">
        <is>
          <t>Phone line(s), incl. 365's (720) 830-4553</t>
        </is>
      </c>
      <c r="B14" s="14" t="inlineStr"/>
      <c r="C14" s="6" t="inlineStr">
        <is>
          <t>Monthly</t>
        </is>
      </c>
      <c r="D14" s="19" t="n"/>
      <c r="E14" s="6" t="inlineStr">
        <is>
          <t>Active</t>
        </is>
      </c>
      <c r="F14" s="33" t="n">
        <v>1</v>
      </c>
      <c r="G14" s="16">
        <f>IF(E14="Active",IF(C14="Monthly",N(D14),IF(C14="Quarterly",N(D14)/3,IF(C14="Yearly",N(D14)/12,0))),0)*F14</f>
        <v/>
      </c>
      <c r="H14" s="16">
        <f>G14*12/52</f>
        <v/>
      </c>
      <c r="I14" s="16">
        <f>G14*12</f>
        <v/>
      </c>
      <c r="J14" s="6" t="inlineStr"/>
      <c r="K14" s="11" t="inlineStr">
        <is>
          <t>Not in the ledger: fill in.</t>
        </is>
      </c>
    </row>
    <row r="15">
      <c r="A15" s="14" t="inlineStr">
        <is>
          <t>Other software or subscriptions</t>
        </is>
      </c>
      <c r="B15" s="14" t="inlineStr"/>
      <c r="C15" s="6" t="inlineStr">
        <is>
          <t>Monthly</t>
        </is>
      </c>
      <c r="D15" s="19" t="n"/>
      <c r="E15" s="6" t="inlineStr">
        <is>
          <t>Active</t>
        </is>
      </c>
      <c r="F15" s="33" t="n">
        <v>1</v>
      </c>
      <c r="G15" s="16">
        <f>IF(E15="Active",IF(C15="Monthly",N(D15),IF(C15="Quarterly",N(D15)/3,IF(C15="Yearly",N(D15)/12,0))),0)*F15</f>
        <v/>
      </c>
      <c r="H15" s="16">
        <f>G15*12/52</f>
        <v/>
      </c>
      <c r="I15" s="16">
        <f>G15*12</f>
        <v/>
      </c>
      <c r="J15" s="6" t="inlineStr"/>
      <c r="K15" s="11" t="inlineStr"/>
    </row>
    <row r="16">
      <c r="A16" s="12" t="inlineStr">
        <is>
          <t>Operations</t>
        </is>
      </c>
      <c r="B16" s="13" t="n"/>
      <c r="C16" s="13" t="n"/>
      <c r="D16" s="13" t="n"/>
      <c r="E16" s="13" t="n"/>
      <c r="F16" s="13" t="n"/>
      <c r="G16" s="13" t="n"/>
      <c r="H16" s="13" t="n"/>
      <c r="I16" s="13" t="n"/>
      <c r="J16" s="13" t="n"/>
      <c r="K16" s="13" t="n"/>
    </row>
    <row r="17">
      <c r="A17" s="14" t="inlineStr">
        <is>
          <t>Aerator</t>
        </is>
      </c>
      <c r="B17" s="14" t="inlineStr"/>
      <c r="C17" s="6" t="inlineStr">
        <is>
          <t>Monthly</t>
        </is>
      </c>
      <c r="D17" s="32" t="n">
        <v>325</v>
      </c>
      <c r="E17" s="6" t="inlineStr">
        <is>
          <t>Active</t>
        </is>
      </c>
      <c r="F17" s="33" t="n">
        <v>1</v>
      </c>
      <c r="G17" s="16">
        <f>IF(E17="Active",IF(C17="Monthly",N(D17),IF(C17="Quarterly",N(D17)/3,IF(C17="Yearly",N(D17)/12,0))),0)*F17</f>
        <v/>
      </c>
      <c r="H17" s="16">
        <f>G17*12/52</f>
        <v/>
      </c>
      <c r="I17" s="16">
        <f>G17*12</f>
        <v/>
      </c>
      <c r="J17" s="6" t="inlineStr"/>
      <c r="K17" s="11" t="inlineStr">
        <is>
          <t>Matthew, 21 Oct 2026: $325 a month for the aerator.</t>
        </is>
      </c>
    </row>
    <row r="18">
      <c r="A18" s="14" t="inlineStr">
        <is>
          <t>Storage unit, 333 W Hampden Ave</t>
        </is>
      </c>
      <c r="B18" s="14" t="inlineStr"/>
      <c r="C18" s="6" t="inlineStr">
        <is>
          <t>Monthly</t>
        </is>
      </c>
      <c r="D18" s="32" t="n">
        <v>414</v>
      </c>
      <c r="E18" s="6" t="inlineStr">
        <is>
          <t>Active</t>
        </is>
      </c>
      <c r="F18" s="33" t="n">
        <v>1</v>
      </c>
      <c r="G18" s="16">
        <f>IF(E18="Active",IF(C18="Monthly",N(D18),IF(C18="Quarterly",N(D18)/3,IF(C18="Yearly",N(D18)/12,0))),0)*F18</f>
        <v/>
      </c>
      <c r="H18" s="16">
        <f>G18*12/52</f>
        <v/>
      </c>
      <c r="I18" s="16">
        <f>G18*12</f>
        <v/>
      </c>
      <c r="J18" s="6" t="inlineStr"/>
      <c r="K18" s="11" t="inlineStr">
        <is>
          <t>Matthew, 21 Oct 2026: $414 a month for storage.</t>
        </is>
      </c>
    </row>
    <row r="19">
      <c r="A19" s="14" t="inlineStr">
        <is>
          <t>Credit card payment (holds the trailers)</t>
        </is>
      </c>
      <c r="B19" s="14" t="inlineStr"/>
      <c r="C19" s="6" t="inlineStr">
        <is>
          <t>Monthly</t>
        </is>
      </c>
      <c r="D19" s="32" t="n">
        <v>500</v>
      </c>
      <c r="E19" s="6" t="inlineStr">
        <is>
          <t>Active</t>
        </is>
      </c>
      <c r="F19" s="33" t="n">
        <v>1</v>
      </c>
      <c r="G19" s="16">
        <f>IF(E19="Active",IF(C19="Monthly",N(D19),IF(C19="Quarterly",N(D19)/3,IF(C19="Yearly",N(D19)/12,0))),0)*F19</f>
        <v/>
      </c>
      <c r="H19" s="16">
        <f>G19*12/52</f>
        <v/>
      </c>
      <c r="I19" s="16">
        <f>G19*12</f>
        <v/>
      </c>
      <c r="J19" s="6" t="inlineStr"/>
      <c r="K19" s="11" t="inlineStr">
        <is>
          <t>Matthew, 21 Oct 2026: $500 a month on the credit card that holds the trailers.</t>
        </is>
      </c>
    </row>
    <row r="20">
      <c r="A20" s="14" t="inlineStr">
        <is>
          <t>Equipment upkeep and repairs</t>
        </is>
      </c>
      <c r="B20" s="14" t="inlineStr"/>
      <c r="C20" s="6" t="inlineStr">
        <is>
          <t>Monthly</t>
        </is>
      </c>
      <c r="D20" s="19" t="n"/>
      <c r="E20" s="6" t="inlineStr">
        <is>
          <t>Active</t>
        </is>
      </c>
      <c r="F20" s="33" t="n">
        <v>1</v>
      </c>
      <c r="G20" s="16">
        <f>IF(E20="Active",IF(C20="Monthly",N(D20),IF(C20="Quarterly",N(D20)/3,IF(C20="Yearly",N(D20)/12,0))),0)*F20</f>
        <v/>
      </c>
      <c r="H20" s="16">
        <f>G20*12/52</f>
        <v/>
      </c>
      <c r="I20" s="16">
        <f>G20*12</f>
        <v/>
      </c>
      <c r="J20" s="6" t="inlineStr"/>
      <c r="K20" s="11" t="inlineStr">
        <is>
          <t>An average month, if you want one in.</t>
        </is>
      </c>
    </row>
    <row r="21">
      <c r="A21" s="12" t="inlineStr">
        <is>
          <t>Trucks</t>
        </is>
      </c>
      <c r="B21" s="13" t="n"/>
      <c r="C21" s="13" t="n"/>
      <c r="D21" s="13" t="n"/>
      <c r="E21" s="13" t="n"/>
      <c r="F21" s="13" t="n"/>
      <c r="G21" s="13" t="n"/>
      <c r="H21" s="13" t="n"/>
      <c r="I21" s="13" t="n"/>
      <c r="J21" s="13" t="n"/>
      <c r="K21" s="13" t="n"/>
    </row>
    <row r="22">
      <c r="A22" s="14" t="inlineStr">
        <is>
          <t>Truck</t>
        </is>
      </c>
      <c r="B22" s="14" t="inlineStr"/>
      <c r="C22" s="6" t="inlineStr">
        <is>
          <t>Monthly</t>
        </is>
      </c>
      <c r="D22" s="32" t="n">
        <v>1000</v>
      </c>
      <c r="E22" s="6" t="inlineStr">
        <is>
          <t>Active</t>
        </is>
      </c>
      <c r="F22" s="33" t="n">
        <v>1</v>
      </c>
      <c r="G22" s="16">
        <f>IF(E22="Active",IF(C22="Monthly",N(D22),IF(C22="Quarterly",N(D22)/3,IF(C22="Yearly",N(D22)/12,0))),0)*F22</f>
        <v/>
      </c>
      <c r="H22" s="16">
        <f>G22*12/52</f>
        <v/>
      </c>
      <c r="I22" s="16">
        <f>G22*12</f>
        <v/>
      </c>
      <c r="J22" s="6" t="inlineStr"/>
      <c r="K22" s="11" t="inlineStr">
        <is>
          <t>Matthew, 21 Oct 2026: truck $1,000 a month.</t>
        </is>
      </c>
    </row>
    <row r="23">
      <c r="A23" s="14" t="inlineStr">
        <is>
          <t>Truck: insurance, if not in the $1,000</t>
        </is>
      </c>
      <c r="B23" s="14" t="inlineStr"/>
      <c r="C23" s="6" t="inlineStr">
        <is>
          <t>Monthly</t>
        </is>
      </c>
      <c r="D23" s="19" t="n"/>
      <c r="E23" s="6" t="inlineStr">
        <is>
          <t>Active</t>
        </is>
      </c>
      <c r="F23" s="33" t="n">
        <v>1</v>
      </c>
      <c r="G23" s="16">
        <f>IF(E23="Active",IF(C23="Monthly",N(D23),IF(C23="Quarterly",N(D23)/3,IF(C23="Yearly",N(D23)/12,0))),0)*F23</f>
        <v/>
      </c>
      <c r="H23" s="16">
        <f>G23*12/52</f>
        <v/>
      </c>
      <c r="I23" s="16">
        <f>G23*12</f>
        <v/>
      </c>
      <c r="J23" s="6" t="inlineStr"/>
      <c r="K23" s="11" t="inlineStr">
        <is>
          <t>Leave empty if the $1,000 already covers it.</t>
        </is>
      </c>
    </row>
    <row r="24">
      <c r="A24" s="14" t="inlineStr">
        <is>
          <t>Truck: registration, if not in the $1,000</t>
        </is>
      </c>
      <c r="B24" s="14" t="inlineStr">
        <is>
          <t>Colorado DMV</t>
        </is>
      </c>
      <c r="C24" s="6" t="inlineStr">
        <is>
          <t>Yearly</t>
        </is>
      </c>
      <c r="D24" s="19" t="n"/>
      <c r="E24" s="6" t="inlineStr">
        <is>
          <t>Active</t>
        </is>
      </c>
      <c r="F24" s="33" t="n">
        <v>1</v>
      </c>
      <c r="G24" s="16">
        <f>IF(E24="Active",IF(C24="Monthly",N(D24),IF(C24="Quarterly",N(D24)/3,IF(C24="Yearly",N(D24)/12,0))),0)*F24</f>
        <v/>
      </c>
      <c r="H24" s="16">
        <f>G24*12/52</f>
        <v/>
      </c>
      <c r="I24" s="16">
        <f>G24*12</f>
        <v/>
      </c>
      <c r="J24" s="6" t="inlineStr"/>
      <c r="K24" s="11" t="inlineStr"/>
    </row>
    <row r="25">
      <c r="A25" s="12" t="inlineStr">
        <is>
          <t>Advertising</t>
        </is>
      </c>
      <c r="B25" s="13" t="n"/>
      <c r="C25" s="13" t="n"/>
      <c r="D25" s="13" t="n"/>
      <c r="E25" s="13" t="n"/>
      <c r="F25" s="13" t="n"/>
      <c r="G25" s="13" t="n"/>
      <c r="H25" s="13" t="n"/>
      <c r="I25" s="13" t="n"/>
      <c r="J25" s="13" t="n"/>
      <c r="K25" s="13" t="n"/>
    </row>
    <row r="26">
      <c r="A26" s="14" t="inlineStr">
        <is>
          <t>Ads (Meta)</t>
        </is>
      </c>
      <c r="B26" s="14" t="inlineStr">
        <is>
          <t>Meta</t>
        </is>
      </c>
      <c r="C26" s="6" t="inlineStr">
        <is>
          <t>Monthly</t>
        </is>
      </c>
      <c r="D26" s="32" t="n">
        <v>6066</v>
      </c>
      <c r="E26" s="6" t="inlineStr">
        <is>
          <t>Active</t>
        </is>
      </c>
      <c r="F26" s="33" t="n">
        <v>1</v>
      </c>
      <c r="G26" s="16">
        <f>IF(E26="Active",IF(C26="Monthly",N(D26),IF(C26="Quarterly",N(D26)/3,IF(C26="Yearly",N(D26)/12,0))),0)*F26</f>
        <v/>
      </c>
      <c r="H26" s="16">
        <f>G26*12/52</f>
        <v/>
      </c>
      <c r="I26" s="16">
        <f>G26*12</f>
        <v/>
      </c>
      <c r="J26" s="6" t="inlineStr"/>
      <c r="K26" s="11" t="inlineStr">
        <is>
          <t>Matthew, 21 Oct 2026: $6,066 a month for ads. On the Profit tab as its own line.</t>
        </is>
      </c>
    </row>
    <row r="27">
      <c r="A27" s="12" t="inlineStr">
        <is>
          <t>Insurance and business</t>
        </is>
      </c>
      <c r="B27" s="13" t="n"/>
      <c r="C27" s="13" t="n"/>
      <c r="D27" s="13" t="n"/>
      <c r="E27" s="13" t="n"/>
      <c r="F27" s="13" t="n"/>
      <c r="G27" s="13" t="n"/>
      <c r="H27" s="13" t="n"/>
      <c r="I27" s="13" t="n"/>
      <c r="J27" s="13" t="n"/>
      <c r="K27" s="13" t="n"/>
    </row>
    <row r="28">
      <c r="A28" s="14" t="inlineStr">
        <is>
          <t>Business insurance (general liability)</t>
        </is>
      </c>
      <c r="B28" s="14" t="inlineStr"/>
      <c r="C28" s="6" t="inlineStr">
        <is>
          <t>Yearly</t>
        </is>
      </c>
      <c r="D28" s="19" t="n"/>
      <c r="E28" s="6" t="inlineStr">
        <is>
          <t>Active</t>
        </is>
      </c>
      <c r="F28" s="33" t="n">
        <v>1</v>
      </c>
      <c r="G28" s="16">
        <f>IF(E28="Active",IF(C28="Monthly",N(D28),IF(C28="Quarterly",N(D28)/3,IF(C28="Yearly",N(D28)/12,0))),0)*F28</f>
        <v/>
      </c>
      <c r="H28" s="16">
        <f>G28*12/52</f>
        <v/>
      </c>
      <c r="I28" s="16">
        <f>G28*12</f>
        <v/>
      </c>
      <c r="J28" s="6" t="inlineStr"/>
      <c r="K28" s="11" t="inlineStr">
        <is>
          <t>Fill in the premium; change Billed to Monthly if it is paid monthly.</t>
        </is>
      </c>
    </row>
    <row r="29">
      <c r="A29" s="14" t="inlineStr">
        <is>
          <t>Other insurance (workers' comp, equipment)</t>
        </is>
      </c>
      <c r="B29" s="14" t="inlineStr"/>
      <c r="C29" s="6" t="inlineStr">
        <is>
          <t>Yearly</t>
        </is>
      </c>
      <c r="D29" s="19" t="n"/>
      <c r="E29" s="6" t="inlineStr">
        <is>
          <t>Active</t>
        </is>
      </c>
      <c r="F29" s="33" t="n">
        <v>1</v>
      </c>
      <c r="G29" s="16">
        <f>IF(E29="Active",IF(C29="Monthly",N(D29),IF(C29="Quarterly",N(D29)/3,IF(C29="Yearly",N(D29)/12,0))),0)*F29</f>
        <v/>
      </c>
      <c r="H29" s="16">
        <f>G29*12/52</f>
        <v/>
      </c>
      <c r="I29" s="16">
        <f>G29*12</f>
        <v/>
      </c>
      <c r="J29" s="6" t="inlineStr"/>
      <c r="K29" s="11" t="inlineStr"/>
    </row>
    <row r="30">
      <c r="A30" s="14" t="inlineStr">
        <is>
          <t>Accounting, bank fees, licences</t>
        </is>
      </c>
      <c r="B30" s="14" t="inlineStr"/>
      <c r="C30" s="6" t="inlineStr">
        <is>
          <t>Monthly</t>
        </is>
      </c>
      <c r="D30" s="19" t="n"/>
      <c r="E30" s="6" t="inlineStr">
        <is>
          <t>Active</t>
        </is>
      </c>
      <c r="F30" s="33" t="n">
        <v>1</v>
      </c>
      <c r="G30" s="16">
        <f>IF(E30="Active",IF(C30="Monthly",N(D30),IF(C30="Quarterly",N(D30)/3,IF(C30="Yearly",N(D30)/12,0))),0)*F30</f>
        <v/>
      </c>
      <c r="H30" s="16">
        <f>G30*12/52</f>
        <v/>
      </c>
      <c r="I30" s="16">
        <f>G30*12</f>
        <v/>
      </c>
      <c r="J30" s="6" t="inlineStr"/>
      <c r="K30" s="11" t="inlineStr"/>
    </row>
    <row r="31">
      <c r="A31" s="21" t="inlineStr">
        <is>
          <t>Total set costs, ads included</t>
        </is>
      </c>
      <c r="B31" s="23" t="n"/>
      <c r="C31" s="23" t="n"/>
      <c r="D31" s="23" t="n"/>
      <c r="E31" s="23" t="n"/>
      <c r="F31" s="23" t="n"/>
      <c r="G31" s="22">
        <f>SUM(G6:G30)</f>
        <v/>
      </c>
      <c r="H31" s="22">
        <f>SUM(H6:H30)</f>
        <v/>
      </c>
      <c r="I31" s="22">
        <f>SUM(I6:I30)</f>
        <v/>
      </c>
      <c r="J31" s="23" t="n"/>
      <c r="K31" s="23" t="n"/>
    </row>
    <row r="34">
      <c r="A34" s="17" t="inlineStr">
        <is>
          <t>One-off purchases</t>
        </is>
      </c>
      <c r="B34" s="11" t="inlineStr">
        <is>
          <t>Printing, tools, signs: counted in the month bought. Seed and fertilizer are NOT entered here; they are counted per job on the Variable sheet.</t>
        </is>
      </c>
    </row>
    <row r="35">
      <c r="A35" s="36" t="inlineStr">
        <is>
          <t>Item</t>
        </is>
      </c>
      <c r="B35" s="36" t="inlineStr">
        <is>
          <t>Date bought</t>
        </is>
      </c>
      <c r="C35" s="36" t="inlineStr">
        <is>
          <t>Amount ($)</t>
        </is>
      </c>
      <c r="D35" s="36" t="inlineStr">
        <is>
          <t>Month</t>
        </is>
      </c>
      <c r="E35" s="36" t="inlineStr">
        <is>
          <t>Note</t>
        </is>
      </c>
    </row>
    <row r="36">
      <c r="A36" s="14" t="inlineStr">
        <is>
          <t>Business cards (printed)</t>
        </is>
      </c>
      <c r="B36" s="56" t="n"/>
      <c r="C36" s="19" t="n"/>
      <c r="D36" s="14">
        <f>IF(B36="","",TEXT(B36,"yyyy-mm"))</f>
        <v/>
      </c>
      <c r="E36" s="11" t="inlineStr">
        <is>
          <t>Fill in the date and the amount.</t>
        </is>
      </c>
    </row>
    <row r="37">
      <c r="A37" s="14" t="inlineStr">
        <is>
          <t>Yard signs (FedEx print)</t>
        </is>
      </c>
      <c r="B37" s="56" t="n"/>
      <c r="C37" s="19" t="n"/>
      <c r="D37" s="14">
        <f>IF(B37="","",TEXT(B37,"yyyy-mm"))</f>
        <v/>
      </c>
      <c r="E37" s="11" t="inlineStr">
        <is>
          <t>Fill in when they are printed and paid for.</t>
        </is>
      </c>
    </row>
    <row r="38">
      <c r="A38" s="14" t="inlineStr"/>
      <c r="B38" s="56" t="n"/>
      <c r="C38" s="19" t="n"/>
      <c r="D38" s="14">
        <f>IF(B38="","",TEXT(B38,"yyyy-mm"))</f>
        <v/>
      </c>
      <c r="E38" s="11" t="inlineStr"/>
    </row>
    <row r="39">
      <c r="A39" s="14" t="inlineStr"/>
      <c r="B39" s="56" t="n"/>
      <c r="C39" s="19" t="n"/>
      <c r="D39" s="14">
        <f>IF(B39="","",TEXT(B39,"yyyy-mm"))</f>
        <v/>
      </c>
      <c r="E39" s="11" t="inlineStr"/>
    </row>
    <row r="40">
      <c r="A40" s="14" t="inlineStr"/>
      <c r="B40" s="56" t="n"/>
      <c r="C40" s="19" t="n"/>
      <c r="D40" s="14">
        <f>IF(B40="","",TEXT(B40,"yyyy-mm"))</f>
        <v/>
      </c>
      <c r="E40" s="11" t="inlineStr"/>
    </row>
    <row r="41">
      <c r="A41" s="14" t="inlineStr"/>
      <c r="B41" s="56" t="n"/>
      <c r="C41" s="19" t="n"/>
      <c r="D41" s="14">
        <f>IF(B41="","",TEXT(B41,"yyyy-mm"))</f>
        <v/>
      </c>
      <c r="E41" s="11" t="inlineStr"/>
    </row>
  </sheetData>
  <dataValidations count="2">
    <dataValidation sqref="C6:C40" showDropDown="0" showInputMessage="0" showErrorMessage="0" allowBlank="1" type="list">
      <formula1>"Monthly,Quarterly,Yearly"</formula1>
    </dataValidation>
    <dataValidation sqref="E6:E40" showDropDown="0" showInputMessage="0" showErrorMessage="0" allowBlank="1" type="list">
      <formula1>"Active,Planned,Stopped"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showGridLines="1" workbookViewId="0">
      <pane ySplit="4" topLeftCell="A5" activePane="bottomLeft" state="frozen"/>
      <selection pane="bottomLeft" activeCell="A1" sqref="A1"/>
    </sheetView>
  </sheetViews>
  <sheetFormatPr baseColWidth="8" defaultRowHeight="15"/>
  <cols>
    <col width="24" customWidth="1" style="63" min="1" max="1"/>
    <col width="34" customWidth="1" style="63" min="2" max="2"/>
    <col width="20" customWidth="1" style="63" min="3" max="3"/>
    <col width="12" customWidth="1" style="63" min="4" max="4"/>
    <col width="14" customWidth="1" style="63" min="5" max="5"/>
    <col width="14" customWidth="1" style="63" min="6" max="6"/>
    <col width="16" customWidth="1" style="63" min="7" max="7"/>
    <col width="60" customWidth="1" style="63" min="8" max="8"/>
  </cols>
  <sheetData>
    <row r="1">
      <c r="A1" s="7" t="inlineStr">
        <is>
          <t>Employees and pay</t>
        </is>
      </c>
    </row>
    <row r="2" ht="42" customHeight="1" s="63">
      <c r="A2" s="8" t="inlineStr">
        <is>
          <t>The crew on each job costs 20% of the job price, set on the Variable per job tab. Use this tab only for pay NOT tied to a job: "Hourly" = rate x hours a month; "Salary (monthly)" = the month's pay; "Per job" or "Not paid" = nothing extra here.</t>
        </is>
      </c>
    </row>
    <row r="4" ht="32" customHeight="1" s="63">
      <c r="A4" s="31" t="inlineStr">
        <is>
          <t>Name</t>
        </is>
      </c>
      <c r="B4" s="31" t="inlineStr">
        <is>
          <t>Role</t>
        </is>
      </c>
      <c r="C4" s="31" t="inlineStr">
        <is>
          <t>Paid how</t>
        </is>
      </c>
      <c r="D4" s="31" t="inlineStr">
        <is>
          <t>Rate</t>
        </is>
      </c>
      <c r="E4" s="31" t="inlineStr">
        <is>
          <t>Hours a month (hourly only)</t>
        </is>
      </c>
      <c r="F4" s="31" t="inlineStr">
        <is>
          <t>Extra on top (payroll tax etc.)</t>
        </is>
      </c>
      <c r="G4" s="31" t="inlineStr">
        <is>
          <t>Monthly cost, not per job ($)</t>
        </is>
      </c>
      <c r="H4" s="31" t="inlineStr">
        <is>
          <t>Note</t>
        </is>
      </c>
    </row>
    <row r="5">
      <c r="A5" s="14" t="inlineStr">
        <is>
          <t>Brad McPherson</t>
        </is>
      </c>
      <c r="B5" s="14" t="inlineStr">
        <is>
          <t>Crew: did 8 of the 9 jobs in the app</t>
        </is>
      </c>
      <c r="C5" s="35" t="n"/>
      <c r="D5" s="37" t="n"/>
      <c r="E5" s="38" t="n"/>
      <c r="F5" s="34" t="n">
        <v>0</v>
      </c>
      <c r="G5" s="16">
        <f>IF(C5="Hourly",N(D5)*N(E5),IF(C5="Salary (monthly)",N(D5),0))*(1+N(F5))</f>
        <v/>
      </c>
      <c r="H5" s="11" t="inlineStr">
        <is>
          <t>Recorded as crew on every 365 job except Carlos.</t>
        </is>
      </c>
    </row>
    <row r="6">
      <c r="A6" s="14" t="inlineStr">
        <is>
          <t>Brandon Long</t>
        </is>
      </c>
      <c r="B6" s="14" t="inlineStr">
        <is>
          <t>Owner; crew on Carlos's job</t>
        </is>
      </c>
      <c r="C6" s="35" t="inlineStr">
        <is>
          <t>Not paid</t>
        </is>
      </c>
      <c r="D6" s="37" t="n"/>
      <c r="E6" s="38" t="n"/>
      <c r="F6" s="34" t="n">
        <v>0</v>
      </c>
      <c r="G6" s="16">
        <f>IF(C6="Hourly",N(D6)*N(E6),IF(C6="Salary (monthly)",N(D6),0))*(1+N(F6))</f>
        <v/>
      </c>
      <c r="H6" s="11" t="inlineStr">
        <is>
          <t>Owner pay is a draw, not a cost: leave as "Not paid" unless he takes a set amount per job.</t>
        </is>
      </c>
    </row>
    <row r="7">
      <c r="A7" s="14" t="inlineStr">
        <is>
          <t>Jen McPherson</t>
        </is>
      </c>
      <c r="B7" s="14" t="inlineStr">
        <is>
          <t>Office: quotes and books 365 jobs</t>
        </is>
      </c>
      <c r="C7" s="35" t="n"/>
      <c r="D7" s="37" t="n"/>
      <c r="E7" s="38" t="n"/>
      <c r="F7" s="34" t="n">
        <v>0</v>
      </c>
      <c r="G7" s="16">
        <f>IF(C7="Hourly",N(D7)*N(E7),IF(C7="Salary (monthly)",N(D7),0))*(1+N(F7))</f>
        <v/>
      </c>
      <c r="H7" s="11" t="inlineStr"/>
    </row>
    <row r="8">
      <c r="A8" s="14" t="inlineStr">
        <is>
          <t>Nneka</t>
        </is>
      </c>
      <c r="B8" s="14" t="inlineStr">
        <is>
          <t>Office; runs a door team</t>
        </is>
      </c>
      <c r="C8" s="35" t="n"/>
      <c r="D8" s="37" t="n"/>
      <c r="E8" s="38" t="n"/>
      <c r="F8" s="34" t="n">
        <v>0</v>
      </c>
      <c r="G8" s="16">
        <f>IF(C8="Hourly",N(D8)*N(E8),IF(C8="Salary (monthly)",N(D8),0))*(1+N(F8))</f>
        <v/>
      </c>
      <c r="H8" s="11" t="inlineStr"/>
    </row>
    <row r="9">
      <c r="A9" s="14" t="inlineStr">
        <is>
          <t>Cai Silva</t>
        </is>
      </c>
      <c r="B9" s="14" t="inlineStr">
        <is>
          <t>Office</t>
        </is>
      </c>
      <c r="C9" s="35" t="n"/>
      <c r="D9" s="37" t="n"/>
      <c r="E9" s="38" t="n"/>
      <c r="F9" s="34" t="n">
        <v>0</v>
      </c>
      <c r="G9" s="16">
        <f>IF(C9="Hourly",N(D9)*N(E9),IF(C9="Salary (monthly)",N(D9),0))*(1+N(F9))</f>
        <v/>
      </c>
      <c r="H9" s="11" t="inlineStr"/>
    </row>
    <row r="10">
      <c r="A10" s="14" t="inlineStr"/>
      <c r="B10" s="14" t="inlineStr"/>
      <c r="C10" s="35" t="n"/>
      <c r="D10" s="37" t="n"/>
      <c r="E10" s="38" t="n"/>
      <c r="F10" s="34" t="n">
        <v>0</v>
      </c>
      <c r="G10" s="16">
        <f>IF(C10="Hourly",N(D10)*N(E10),IF(C10="Salary (monthly)",N(D10),0))*(1+N(F10))</f>
        <v/>
      </c>
      <c r="H10" s="11" t="inlineStr"/>
    </row>
    <row r="11">
      <c r="A11" s="14" t="inlineStr"/>
      <c r="B11" s="14" t="inlineStr"/>
      <c r="C11" s="35" t="n"/>
      <c r="D11" s="37" t="n"/>
      <c r="E11" s="38" t="n"/>
      <c r="F11" s="34" t="n">
        <v>0</v>
      </c>
      <c r="G11" s="16">
        <f>IF(C11="Hourly",N(D11)*N(E11),IF(C11="Salary (monthly)",N(D11),0))*(1+N(F11))</f>
        <v/>
      </c>
      <c r="H11" s="11" t="inlineStr"/>
    </row>
    <row r="12">
      <c r="A12" s="21" t="inlineStr">
        <is>
          <t>Total monthly pay (not per job)</t>
        </is>
      </c>
      <c r="B12" s="23" t="n"/>
      <c r="C12" s="23" t="n"/>
      <c r="D12" s="23" t="n"/>
      <c r="E12" s="23" t="n"/>
      <c r="F12" s="23" t="n"/>
      <c r="G12" s="22">
        <f>SUM(G5:G11)</f>
        <v/>
      </c>
      <c r="H12" s="23" t="n"/>
    </row>
    <row r="14">
      <c r="A14" s="11" t="inlineStr">
        <is>
          <t>Example: an office person on "Hourly" at 20 for 80 hours a month adds $1,600 a month here. Crew paid from jobs stay "Per job" (covered by the 20%).</t>
        </is>
      </c>
    </row>
  </sheetData>
  <mergeCells count="1">
    <mergeCell ref="A2:H2"/>
  </mergeCells>
  <dataValidations count="1">
    <dataValidation sqref="C5:C11" showDropDown="0" showInputMessage="0" showErrorMessage="0" allowBlank="1" type="list">
      <formula1>"Per job ($),Per job (% of price),Hourly,Salary (monthly),Not paid"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8"/>
  <sheetViews>
    <sheetView showGridLines="1" workbookViewId="0">
      <pane ySplit="4" topLeftCell="A5" activePane="bottomLeft" state="frozen"/>
      <selection pane="bottomLeft" activeCell="A1" sqref="A1"/>
    </sheetView>
  </sheetViews>
  <sheetFormatPr baseColWidth="8" defaultRowHeight="15"/>
  <cols>
    <col width="12" customWidth="1" style="63" min="1" max="1"/>
    <col width="9" customWidth="1" style="63" min="2" max="2"/>
    <col width="18" customWidth="1" style="63" min="3" max="3"/>
    <col width="10" customWidth="1" style="63" min="4" max="4"/>
    <col width="9" customWidth="1" style="63" min="5" max="5"/>
    <col width="12" customWidth="1" style="63" min="6" max="6"/>
    <col width="12" customWidth="1" style="63" min="7" max="7"/>
    <col width="12" customWidth="1" style="63" min="8" max="8"/>
    <col width="12" customWidth="1" style="63" min="9" max="9"/>
    <col width="14" customWidth="1" style="63" min="10" max="10"/>
    <col width="18" customWidth="1" style="63" min="11" max="11"/>
    <col width="14" customWidth="1" style="63" min="12" max="12"/>
    <col width="52" customWidth="1" style="63" min="13" max="13"/>
  </cols>
  <sheetData>
    <row r="1">
      <c r="A1" s="7" t="inlineStr">
        <is>
          <t>Payments (Square, both locations)</t>
        </is>
      </c>
    </row>
    <row r="2">
      <c r="A2" s="11" t="inlineStr">
        <is>
          <t>Read from Square on 21 Oct 2026. Failed charges and a $0 entry are left out. Customer and job are my match by amount and date; check them. A job's Square fees are the rows with its customer and job date.</t>
        </is>
      </c>
    </row>
    <row r="4" ht="32" customHeight="1" s="63">
      <c r="A4" s="31" t="inlineStr">
        <is>
          <t>Date</t>
        </is>
      </c>
      <c r="B4" s="31" t="inlineStr">
        <is>
          <t>Month</t>
        </is>
      </c>
      <c r="C4" s="31" t="inlineStr">
        <is>
          <t>Square location</t>
        </is>
      </c>
      <c r="D4" s="31" t="inlineStr">
        <is>
          <t>Business</t>
        </is>
      </c>
      <c r="E4" s="31" t="inlineStr">
        <is>
          <t>Type</t>
        </is>
      </c>
      <c r="F4" s="31" t="inlineStr">
        <is>
          <t>Amount ($)</t>
        </is>
      </c>
      <c r="G4" s="31" t="inlineStr">
        <is>
          <t>Refunded ($)</t>
        </is>
      </c>
      <c r="H4" s="31" t="inlineStr">
        <is>
          <t>Square fee ($)</t>
        </is>
      </c>
      <c r="I4" s="31" t="inlineStr">
        <is>
          <t>Money in ($)</t>
        </is>
      </c>
      <c r="J4" s="31" t="inlineStr">
        <is>
          <t>Money in after fee ($)</t>
        </is>
      </c>
      <c r="K4" s="31" t="inlineStr">
        <is>
          <t>Customer</t>
        </is>
      </c>
      <c r="L4" s="31" t="inlineStr">
        <is>
          <t>Job it paid for (job date)</t>
        </is>
      </c>
      <c r="M4" s="31" t="inlineStr">
        <is>
          <t>What it was</t>
        </is>
      </c>
    </row>
    <row r="5">
      <c r="A5" s="58" t="n">
        <v>46265</v>
      </c>
      <c r="B5" s="14">
        <f>TEXT(A5,"yyyy-mm")</f>
        <v/>
      </c>
      <c r="C5" s="6" t="inlineStr">
        <is>
          <t>Six Fold Colorado</t>
        </is>
      </c>
      <c r="D5" s="6" t="inlineStr">
        <is>
          <t>Sixfold</t>
        </is>
      </c>
      <c r="E5" s="6" t="inlineStr">
        <is>
          <t>Card</t>
        </is>
      </c>
      <c r="F5" s="32" t="n">
        <v>1</v>
      </c>
      <c r="G5" s="32" t="n">
        <v>0</v>
      </c>
      <c r="H5" s="32" t="n">
        <v>0</v>
      </c>
      <c r="I5" s="16">
        <f>F5-G5</f>
        <v/>
      </c>
      <c r="J5" s="16">
        <f>I5-H5</f>
        <v/>
      </c>
      <c r="K5" s="6" t="inlineStr">
        <is>
          <t>Test</t>
        </is>
      </c>
      <c r="M5" s="11" t="inlineStr">
        <is>
          <t>A $1 card charge: looks like a test.</t>
        </is>
      </c>
    </row>
    <row r="6">
      <c r="A6" s="58" t="n">
        <v>46267</v>
      </c>
      <c r="B6" s="14">
        <f>TEXT(A6,"yyyy-mm")</f>
        <v/>
      </c>
      <c r="C6" s="6" t="inlineStr">
        <is>
          <t>Six Fold Colorado</t>
        </is>
      </c>
      <c r="D6" s="6" t="inlineStr">
        <is>
          <t>Sixfold</t>
        </is>
      </c>
      <c r="E6" s="6" t="inlineStr">
        <is>
          <t>Check</t>
        </is>
      </c>
      <c r="F6" s="32" t="n">
        <v>1125</v>
      </c>
      <c r="G6" s="32" t="n">
        <v>0</v>
      </c>
      <c r="H6" s="32" t="n">
        <v>0</v>
      </c>
      <c r="I6" s="16">
        <f>F6-G6</f>
        <v/>
      </c>
      <c r="J6" s="16">
        <f>I6-H6</f>
        <v/>
      </c>
      <c r="K6" s="35" t="n"/>
      <c r="L6" s="56" t="n"/>
      <c r="M6" s="11" t="inlineStr">
        <is>
          <t>A check entered in Square. Which job? (question 7)</t>
        </is>
      </c>
    </row>
    <row r="7">
      <c r="A7" s="58" t="n">
        <v>46281</v>
      </c>
      <c r="B7" s="14">
        <f>TEXT(A7,"yyyy-mm")</f>
        <v/>
      </c>
      <c r="C7" s="6" t="inlineStr">
        <is>
          <t>Six Fold Colorado</t>
        </is>
      </c>
      <c r="D7" s="6" t="inlineStr">
        <is>
          <t>Sixfold</t>
        </is>
      </c>
      <c r="E7" s="6" t="inlineStr">
        <is>
          <t>Card</t>
        </is>
      </c>
      <c r="F7" s="32" t="n">
        <v>750</v>
      </c>
      <c r="G7" s="32" t="n">
        <v>0</v>
      </c>
      <c r="H7" s="32" t="n">
        <v>0</v>
      </c>
      <c r="I7" s="16">
        <f>F7-G7</f>
        <v/>
      </c>
      <c r="J7" s="16">
        <f>I7-H7</f>
        <v/>
      </c>
      <c r="K7" s="6" t="inlineStr">
        <is>
          <t>Kara R.</t>
        </is>
      </c>
      <c r="L7" s="58" t="n">
        <v>46282</v>
      </c>
      <c r="M7" s="11" t="inlineStr">
        <is>
          <t>Landscaping, first half. Square charged no fee on this one.</t>
        </is>
      </c>
    </row>
    <row r="8">
      <c r="A8" s="58" t="n">
        <v>46283</v>
      </c>
      <c r="B8" s="14">
        <f>TEXT(A8,"yyyy-mm")</f>
        <v/>
      </c>
      <c r="C8" s="6" t="inlineStr">
        <is>
          <t>Six Fold Colorado</t>
        </is>
      </c>
      <c r="D8" s="6" t="inlineStr">
        <is>
          <t>Sixfold</t>
        </is>
      </c>
      <c r="E8" s="6" t="inlineStr">
        <is>
          <t>Card</t>
        </is>
      </c>
      <c r="F8" s="32" t="n">
        <v>750</v>
      </c>
      <c r="G8" s="32" t="n">
        <v>0</v>
      </c>
      <c r="H8" s="32" t="n">
        <v>14.73</v>
      </c>
      <c r="I8" s="16">
        <f>F8-G8</f>
        <v/>
      </c>
      <c r="J8" s="16">
        <f>I8-H8</f>
        <v/>
      </c>
      <c r="K8" s="6" t="inlineStr">
        <is>
          <t>Kara R.</t>
        </is>
      </c>
      <c r="L8" s="58" t="n">
        <v>46282</v>
      </c>
      <c r="M8" s="11" t="inlineStr">
        <is>
          <t>Landscaping, second half</t>
        </is>
      </c>
    </row>
    <row r="9">
      <c r="A9" s="58" t="n">
        <v>46301</v>
      </c>
      <c r="B9" s="14">
        <f>TEXT(A9,"yyyy-mm")</f>
        <v/>
      </c>
      <c r="C9" s="6" t="inlineStr">
        <is>
          <t>Six Fold Colorado</t>
        </is>
      </c>
      <c r="D9" s="6" t="inlineStr">
        <is>
          <t>Sixfold</t>
        </is>
      </c>
      <c r="E9" s="6" t="inlineStr">
        <is>
          <t>Card</t>
        </is>
      </c>
      <c r="F9" s="32" t="n">
        <v>550</v>
      </c>
      <c r="G9" s="32" t="n">
        <v>0</v>
      </c>
      <c r="H9" s="32" t="n">
        <v>16.25</v>
      </c>
      <c r="I9" s="16">
        <f>F9-G9</f>
        <v/>
      </c>
      <c r="J9" s="16">
        <f>I9-H9</f>
        <v/>
      </c>
      <c r="K9" s="6" t="inlineStr">
        <is>
          <t>Kara R.</t>
        </is>
      </c>
      <c r="L9" s="58" t="n">
        <v>46307</v>
      </c>
      <c r="M9" s="11" t="inlineStr">
        <is>
          <t>Aeration, first half</t>
        </is>
      </c>
    </row>
    <row r="10">
      <c r="A10" s="58" t="n">
        <v>46302</v>
      </c>
      <c r="B10" s="14">
        <f>TEXT(A10,"yyyy-mm")</f>
        <v/>
      </c>
      <c r="C10" s="6" t="inlineStr">
        <is>
          <t>Six Fold Colorado</t>
        </is>
      </c>
      <c r="D10" s="6" t="inlineStr">
        <is>
          <t>Sixfold</t>
        </is>
      </c>
      <c r="E10" s="6" t="inlineStr">
        <is>
          <t>Card</t>
        </is>
      </c>
      <c r="F10" s="32" t="n">
        <v>200</v>
      </c>
      <c r="G10" s="32" t="n">
        <v>0</v>
      </c>
      <c r="H10" s="32" t="n">
        <v>6.1</v>
      </c>
      <c r="I10" s="16">
        <f>F10-G10</f>
        <v/>
      </c>
      <c r="J10" s="16">
        <f>I10-H10</f>
        <v/>
      </c>
      <c r="K10" s="6" t="inlineStr">
        <is>
          <t>Brian S.</t>
        </is>
      </c>
      <c r="L10" s="58" t="n">
        <v>46311</v>
      </c>
      <c r="M10" s="11" t="inlineStr">
        <is>
          <t>Aeration, first half ($200 still owed)</t>
        </is>
      </c>
    </row>
    <row r="11">
      <c r="A11" s="58" t="n">
        <v>46311</v>
      </c>
      <c r="B11" s="14">
        <f>TEXT(A11,"yyyy-mm")</f>
        <v/>
      </c>
      <c r="C11" s="6" t="inlineStr">
        <is>
          <t>Six Fold Colorado</t>
        </is>
      </c>
      <c r="D11" s="6" t="inlineStr">
        <is>
          <t>Sixfold</t>
        </is>
      </c>
      <c r="E11" s="6" t="inlineStr">
        <is>
          <t>Card</t>
        </is>
      </c>
      <c r="F11" s="32" t="n">
        <v>550</v>
      </c>
      <c r="G11" s="32" t="n">
        <v>0</v>
      </c>
      <c r="H11" s="32" t="n">
        <v>16.25</v>
      </c>
      <c r="I11" s="16">
        <f>F11-G11</f>
        <v/>
      </c>
      <c r="J11" s="16">
        <f>I11-H11</f>
        <v/>
      </c>
      <c r="K11" s="6" t="inlineStr">
        <is>
          <t>Kara R.</t>
        </is>
      </c>
      <c r="L11" s="58" t="n">
        <v>46307</v>
      </c>
      <c r="M11" s="11" t="inlineStr">
        <is>
          <t>Aeration, second half</t>
        </is>
      </c>
    </row>
    <row r="12">
      <c r="A12" s="58" t="n">
        <v>46311</v>
      </c>
      <c r="B12" s="14">
        <f>TEXT(A12,"yyyy-mm")</f>
        <v/>
      </c>
      <c r="C12" s="6" t="inlineStr">
        <is>
          <t>365Aeration</t>
        </is>
      </c>
      <c r="D12" s="6" t="inlineStr">
        <is>
          <t>365</t>
        </is>
      </c>
      <c r="E12" s="6" t="inlineStr">
        <is>
          <t>Card</t>
        </is>
      </c>
      <c r="F12" s="32" t="n">
        <v>50</v>
      </c>
      <c r="G12" s="32" t="n">
        <v>0</v>
      </c>
      <c r="H12" s="32" t="n">
        <v>1.75</v>
      </c>
      <c r="I12" s="16">
        <f>F12-G12</f>
        <v/>
      </c>
      <c r="J12" s="16">
        <f>I12-H12</f>
        <v/>
      </c>
      <c r="K12" s="6" t="inlineStr">
        <is>
          <t>Kirk C.</t>
        </is>
      </c>
      <c r="L12" s="58" t="n">
        <v>46314</v>
      </c>
      <c r="M12" s="11" t="inlineStr">
        <is>
          <t>Deposit</t>
        </is>
      </c>
    </row>
    <row r="13">
      <c r="A13" s="58" t="n">
        <v>46311</v>
      </c>
      <c r="B13" s="14">
        <f>TEXT(A13,"yyyy-mm")</f>
        <v/>
      </c>
      <c r="C13" s="6" t="inlineStr">
        <is>
          <t>365Aeration</t>
        </is>
      </c>
      <c r="D13" s="6" t="inlineStr">
        <is>
          <t>365</t>
        </is>
      </c>
      <c r="E13" s="6" t="inlineStr">
        <is>
          <t>Card</t>
        </is>
      </c>
      <c r="F13" s="32" t="n">
        <v>200</v>
      </c>
      <c r="G13" s="32" t="n">
        <v>0</v>
      </c>
      <c r="H13" s="32" t="n">
        <v>6.1</v>
      </c>
      <c r="I13" s="16">
        <f>F13-G13</f>
        <v/>
      </c>
      <c r="J13" s="16">
        <f>I13-H13</f>
        <v/>
      </c>
      <c r="K13" s="6" t="inlineStr">
        <is>
          <t>Russ K.</t>
        </is>
      </c>
      <c r="L13" s="58" t="n">
        <v>46311</v>
      </c>
      <c r="M13" s="11" t="inlineStr">
        <is>
          <t>Paid in full</t>
        </is>
      </c>
    </row>
    <row r="14">
      <c r="A14" s="58" t="n">
        <v>46311</v>
      </c>
      <c r="B14" s="14">
        <f>TEXT(A14,"yyyy-mm")</f>
        <v/>
      </c>
      <c r="C14" s="6" t="inlineStr">
        <is>
          <t>365Aeration</t>
        </is>
      </c>
      <c r="D14" s="6" t="inlineStr">
        <is>
          <t>365</t>
        </is>
      </c>
      <c r="E14" s="6" t="inlineStr">
        <is>
          <t>Card</t>
        </is>
      </c>
      <c r="F14" s="32" t="n">
        <v>200</v>
      </c>
      <c r="G14" s="32" t="n">
        <v>0</v>
      </c>
      <c r="H14" s="32" t="n">
        <v>6.1</v>
      </c>
      <c r="I14" s="16">
        <f>F14-G14</f>
        <v/>
      </c>
      <c r="J14" s="16">
        <f>I14-H14</f>
        <v/>
      </c>
      <c r="K14" s="6" t="inlineStr">
        <is>
          <t>Eric V.</t>
        </is>
      </c>
      <c r="L14" s="58" t="n">
        <v>46311</v>
      </c>
      <c r="M14" s="11" t="inlineStr">
        <is>
          <t>Paid in full</t>
        </is>
      </c>
    </row>
    <row r="15">
      <c r="A15" s="58" t="n">
        <v>46311</v>
      </c>
      <c r="B15" s="14">
        <f>TEXT(A15,"yyyy-mm")</f>
        <v/>
      </c>
      <c r="C15" s="6" t="inlineStr">
        <is>
          <t>365Aeration</t>
        </is>
      </c>
      <c r="D15" s="6" t="inlineStr">
        <is>
          <t>365</t>
        </is>
      </c>
      <c r="E15" s="6" t="inlineStr">
        <is>
          <t>Card</t>
        </is>
      </c>
      <c r="F15" s="32" t="n">
        <v>200</v>
      </c>
      <c r="G15" s="32" t="n">
        <v>25</v>
      </c>
      <c r="H15" s="32" t="n">
        <v>7.15</v>
      </c>
      <c r="I15" s="16">
        <f>F15-G15</f>
        <v/>
      </c>
      <c r="J15" s="16">
        <f>I15-H15</f>
        <v/>
      </c>
      <c r="K15" s="6" t="inlineStr">
        <is>
          <t>Carlos P.</t>
        </is>
      </c>
      <c r="L15" s="58" t="n">
        <v>46311</v>
      </c>
      <c r="M15" s="11" t="inlineStr">
        <is>
          <t>$200 with $25 refunded: his $175 price</t>
        </is>
      </c>
    </row>
    <row r="16">
      <c r="A16" s="58" t="n">
        <v>46313</v>
      </c>
      <c r="B16" s="14">
        <f>TEXT(A16,"yyyy-mm")</f>
        <v/>
      </c>
      <c r="C16" s="6" t="inlineStr">
        <is>
          <t>365Aeration</t>
        </is>
      </c>
      <c r="D16" s="6" t="inlineStr">
        <is>
          <t>365</t>
        </is>
      </c>
      <c r="E16" s="6" t="inlineStr">
        <is>
          <t>Card</t>
        </is>
      </c>
      <c r="F16" s="32" t="n">
        <v>50</v>
      </c>
      <c r="G16" s="32" t="n">
        <v>0</v>
      </c>
      <c r="H16" s="32" t="n">
        <v>1.75</v>
      </c>
      <c r="I16" s="16">
        <f>F16-G16</f>
        <v/>
      </c>
      <c r="J16" s="16">
        <f>I16-H16</f>
        <v/>
      </c>
      <c r="K16" s="6" t="inlineStr">
        <is>
          <t>Sreenivas K.</t>
        </is>
      </c>
      <c r="L16" s="58" t="n">
        <v>46318</v>
      </c>
      <c r="M16" s="11" t="inlineStr">
        <is>
          <t>Deposit (job 23 Oct)</t>
        </is>
      </c>
    </row>
    <row r="17">
      <c r="A17" s="58" t="n">
        <v>46314</v>
      </c>
      <c r="B17" s="14">
        <f>TEXT(A17,"yyyy-mm")</f>
        <v/>
      </c>
      <c r="C17" s="6" t="inlineStr">
        <is>
          <t>365Aeration</t>
        </is>
      </c>
      <c r="D17" s="6" t="inlineStr">
        <is>
          <t>365</t>
        </is>
      </c>
      <c r="E17" s="6" t="inlineStr">
        <is>
          <t>Card</t>
        </is>
      </c>
      <c r="F17" s="32" t="n">
        <v>249</v>
      </c>
      <c r="G17" s="32" t="n">
        <v>0</v>
      </c>
      <c r="H17" s="32" t="n">
        <v>8.869999999999999</v>
      </c>
      <c r="I17" s="16">
        <f>F17-G17</f>
        <v/>
      </c>
      <c r="J17" s="16">
        <f>I17-H17</f>
        <v/>
      </c>
      <c r="K17" s="6" t="inlineStr">
        <is>
          <t>Kirk C.</t>
        </is>
      </c>
      <c r="L17" s="58" t="n">
        <v>46314</v>
      </c>
      <c r="M17" s="11" t="inlineStr">
        <is>
          <t>Balance after the $50 deposit</t>
        </is>
      </c>
    </row>
    <row r="18">
      <c r="A18" s="58" t="n">
        <v>46315</v>
      </c>
      <c r="B18" s="14">
        <f>TEXT(A18,"yyyy-mm")</f>
        <v/>
      </c>
      <c r="C18" s="6" t="inlineStr">
        <is>
          <t>365Aeration</t>
        </is>
      </c>
      <c r="D18" s="6" t="inlineStr">
        <is>
          <t>365</t>
        </is>
      </c>
      <c r="E18" s="6" t="inlineStr">
        <is>
          <t>Card</t>
        </is>
      </c>
      <c r="F18" s="32" t="n">
        <v>468</v>
      </c>
      <c r="G18" s="32" t="n">
        <v>0</v>
      </c>
      <c r="H18" s="32" t="n">
        <v>15.74</v>
      </c>
      <c r="I18" s="16">
        <f>F18-G18</f>
        <v/>
      </c>
      <c r="J18" s="16">
        <f>I18-H18</f>
        <v/>
      </c>
      <c r="K18" s="6" t="inlineStr">
        <is>
          <t>Randy C.</t>
        </is>
      </c>
      <c r="L18" s="58" t="n">
        <v>46315</v>
      </c>
      <c r="M18" s="11" t="inlineStr">
        <is>
          <t>Paid in full</t>
        </is>
      </c>
    </row>
    <row r="19">
      <c r="A19" s="58" t="n">
        <v>46315</v>
      </c>
      <c r="B19" s="14">
        <f>TEXT(A19,"yyyy-mm")</f>
        <v/>
      </c>
      <c r="C19" s="6" t="inlineStr">
        <is>
          <t>365Aeration</t>
        </is>
      </c>
      <c r="D19" s="6" t="inlineStr">
        <is>
          <t>365</t>
        </is>
      </c>
      <c r="E19" s="6" t="inlineStr">
        <is>
          <t>Card</t>
        </is>
      </c>
      <c r="F19" s="32" t="n">
        <v>200</v>
      </c>
      <c r="G19" s="32" t="n">
        <v>0</v>
      </c>
      <c r="H19" s="32" t="n">
        <v>6.1</v>
      </c>
      <c r="I19" s="16">
        <f>F19-G19</f>
        <v/>
      </c>
      <c r="J19" s="16">
        <f>I19-H19</f>
        <v/>
      </c>
      <c r="K19" s="6" t="inlineStr">
        <is>
          <t>Joseph B.</t>
        </is>
      </c>
      <c r="L19" s="58" t="n">
        <v>46325</v>
      </c>
      <c r="M19" s="11" t="inlineStr">
        <is>
          <t>Deposit (job 30 Oct)</t>
        </is>
      </c>
    </row>
    <row r="20">
      <c r="A20" s="58" t="n">
        <v>46316</v>
      </c>
      <c r="B20" s="14">
        <f>TEXT(A20,"yyyy-mm")</f>
        <v/>
      </c>
      <c r="C20" s="6" t="inlineStr">
        <is>
          <t>365Aeration</t>
        </is>
      </c>
      <c r="D20" s="6" t="inlineStr">
        <is>
          <t>365</t>
        </is>
      </c>
      <c r="E20" s="6" t="inlineStr">
        <is>
          <t>Card</t>
        </is>
      </c>
      <c r="F20" s="32" t="n">
        <v>350</v>
      </c>
      <c r="G20" s="32" t="n">
        <v>0</v>
      </c>
      <c r="H20" s="32" t="n">
        <v>11.85</v>
      </c>
      <c r="I20" s="16">
        <f>F20-G20</f>
        <v/>
      </c>
      <c r="J20" s="16">
        <f>I20-H20</f>
        <v/>
      </c>
      <c r="K20" s="6" t="inlineStr">
        <is>
          <t>Jeremy</t>
        </is>
      </c>
      <c r="L20" s="58" t="n">
        <v>46315</v>
      </c>
      <c r="M20" s="11" t="inlineStr">
        <is>
          <t>Paid in full at the $350 agreed</t>
        </is>
      </c>
    </row>
    <row r="21">
      <c r="A21" s="59" t="n"/>
      <c r="B21" s="14">
        <f>IF(A21="","",TEXT(A21,"yyyy-mm"))</f>
        <v/>
      </c>
      <c r="F21" s="41" t="n"/>
      <c r="G21" s="41" t="n"/>
      <c r="H21" s="41" t="n"/>
      <c r="I21" s="16">
        <f>IF(F21="","",N(F21)-N(G21))</f>
        <v/>
      </c>
      <c r="J21" s="16">
        <f>IF(F21="","",N(I21)-N(H21))</f>
        <v/>
      </c>
      <c r="L21" s="59" t="n"/>
    </row>
    <row r="22">
      <c r="A22" s="59" t="n"/>
      <c r="B22" s="14">
        <f>IF(A22="","",TEXT(A22,"yyyy-mm"))</f>
        <v/>
      </c>
      <c r="F22" s="41" t="n"/>
      <c r="G22" s="41" t="n"/>
      <c r="H22" s="41" t="n"/>
      <c r="I22" s="16">
        <f>IF(F22="","",N(F22)-N(G22))</f>
        <v/>
      </c>
      <c r="J22" s="16">
        <f>IF(F22="","",N(I22)-N(H22))</f>
        <v/>
      </c>
      <c r="L22" s="59" t="n"/>
    </row>
    <row r="23">
      <c r="A23" s="59" t="n"/>
      <c r="B23" s="14">
        <f>IF(A23="","",TEXT(A23,"yyyy-mm"))</f>
        <v/>
      </c>
      <c r="F23" s="41" t="n"/>
      <c r="G23" s="41" t="n"/>
      <c r="H23" s="41" t="n"/>
      <c r="I23" s="16">
        <f>IF(F23="","",N(F23)-N(G23))</f>
        <v/>
      </c>
      <c r="J23" s="16">
        <f>IF(F23="","",N(I23)-N(H23))</f>
        <v/>
      </c>
      <c r="L23" s="59" t="n"/>
    </row>
    <row r="24">
      <c r="A24" s="59" t="n"/>
      <c r="B24" s="14">
        <f>IF(A24="","",TEXT(A24,"yyyy-mm"))</f>
        <v/>
      </c>
      <c r="F24" s="41" t="n"/>
      <c r="G24" s="41" t="n"/>
      <c r="H24" s="41" t="n"/>
      <c r="I24" s="16">
        <f>IF(F24="","",N(F24)-N(G24))</f>
        <v/>
      </c>
      <c r="J24" s="16">
        <f>IF(F24="","",N(I24)-N(H24))</f>
        <v/>
      </c>
      <c r="L24" s="59" t="n"/>
    </row>
    <row r="25">
      <c r="A25" s="59" t="n"/>
      <c r="B25" s="14">
        <f>IF(A25="","",TEXT(A25,"yyyy-mm"))</f>
        <v/>
      </c>
      <c r="F25" s="41" t="n"/>
      <c r="G25" s="41" t="n"/>
      <c r="H25" s="41" t="n"/>
      <c r="I25" s="16">
        <f>IF(F25="","",N(F25)-N(G25))</f>
        <v/>
      </c>
      <c r="J25" s="16">
        <f>IF(F25="","",N(I25)-N(H25))</f>
        <v/>
      </c>
      <c r="L25" s="59" t="n"/>
    </row>
    <row r="26">
      <c r="A26" s="59" t="n"/>
      <c r="B26" s="14">
        <f>IF(A26="","",TEXT(A26,"yyyy-mm"))</f>
        <v/>
      </c>
      <c r="F26" s="41" t="n"/>
      <c r="G26" s="41" t="n"/>
      <c r="H26" s="41" t="n"/>
      <c r="I26" s="16">
        <f>IF(F26="","",N(F26)-N(G26))</f>
        <v/>
      </c>
      <c r="J26" s="16">
        <f>IF(F26="","",N(I26)-N(H26))</f>
        <v/>
      </c>
      <c r="L26" s="59" t="n"/>
    </row>
    <row r="27">
      <c r="A27" s="21" t="inlineStr">
        <is>
          <t>Total</t>
        </is>
      </c>
      <c r="B27" s="23" t="n"/>
      <c r="C27" s="23" t="n"/>
      <c r="D27" s="23" t="n"/>
      <c r="E27" s="23" t="n"/>
      <c r="F27" s="22">
        <f>SUM(F5:F26)</f>
        <v/>
      </c>
      <c r="G27" s="22">
        <f>SUM(G5:G26)</f>
        <v/>
      </c>
      <c r="H27" s="22">
        <f>SUM(H5:H26)</f>
        <v/>
      </c>
      <c r="I27" s="22">
        <f>SUM(I5:I26)</f>
        <v/>
      </c>
      <c r="J27" s="22">
        <f>SUM(J5:J26)</f>
        <v/>
      </c>
      <c r="K27" s="23" t="n"/>
      <c r="L27" s="23" t="n"/>
      <c r="M27" s="23" t="n"/>
    </row>
    <row r="28">
      <c r="A28" s="11" t="inlineStr">
        <is>
          <t>Square fee as a share of card money</t>
        </is>
      </c>
      <c r="H28" s="24">
        <f>IFERROR(SUMIFS(H5:H26,E5:E26,"Card")/SUMIFS(I5:I26,E5:E26,"Card"),0)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37"/>
  <sheetViews>
    <sheetView showGridLines="1" workbookViewId="0">
      <pane xSplit="2" ySplit="15" topLeftCell="C16" activePane="bottomRight" state="frozen"/>
      <selection pane="topRight" activeCell="A1" sqref="A1"/>
      <selection pane="bottomLeft" activeCell="A1" sqref="A1"/>
      <selection pane="bottomRight" activeCell="A1" sqref="A1"/>
    </sheetView>
  </sheetViews>
  <sheetFormatPr baseColWidth="8" defaultRowHeight="15"/>
  <cols>
    <col width="11" customWidth="1" style="63" min="1" max="1"/>
    <col width="13" customWidth="1" style="63" min="2" max="2"/>
    <col width="9" customWidth="1" style="63" min="3" max="3"/>
    <col width="12" customWidth="1" style="63" min="4" max="4"/>
    <col width="9" customWidth="1" style="63" min="5" max="5"/>
    <col width="15" customWidth="1" style="63" min="6" max="6"/>
    <col width="10" customWidth="1" style="63" min="7" max="7"/>
    <col width="11" customWidth="1" style="63" min="8" max="8"/>
    <col width="10" customWidth="1" style="63" min="9" max="9"/>
    <col width="9" customWidth="1" style="63" min="10" max="10"/>
    <col width="15" customWidth="1" style="63" min="11" max="11"/>
    <col width="9" customWidth="1" style="63" min="12" max="12"/>
    <col width="9" customWidth="1" style="63" min="13" max="13"/>
    <col width="9" customWidth="1" style="63" min="14" max="14"/>
    <col width="9" customWidth="1" style="63" min="15" max="15"/>
    <col width="9" customWidth="1" style="63" min="16" max="16"/>
    <col width="9" customWidth="1" style="63" min="17" max="17"/>
    <col width="11" customWidth="1" style="63" min="18" max="18"/>
    <col width="9" customWidth="1" style="63" min="19" max="19"/>
    <col width="10" customWidth="1" style="63" min="20" max="20"/>
    <col width="10" customWidth="1" style="63" min="21" max="21"/>
    <col width="10" customWidth="1" style="63" min="22" max="22"/>
    <col width="11" customWidth="1" style="63" min="23" max="23"/>
    <col width="10" customWidth="1" style="63" min="24" max="24"/>
    <col width="10" customWidth="1" style="63" min="25" max="25"/>
    <col width="11" customWidth="1" style="63" min="26" max="26"/>
    <col width="8" customWidth="1" style="63" min="27" max="27"/>
    <col width="9" customWidth="1" style="63" min="28" max="28"/>
    <col width="11" customWidth="1" style="63" min="29" max="29"/>
    <col width="40" customWidth="1" style="63" min="30" max="30"/>
    <col width="11" customWidth="1" style="63" min="31" max="31"/>
    <col width="60" customWidth="1" style="63" min="32" max="32"/>
  </cols>
  <sheetData>
    <row r="1">
      <c r="A1" s="7" t="inlineStr">
        <is>
          <t>Variable costs per job</t>
        </is>
      </c>
    </row>
    <row r="2">
      <c r="A2" s="11" t="inlineStr">
        <is>
          <t>Seed, fertilizer, gas, Square fees and crew pay for each job, and what each job made. Inputs first; the jobs table is below.</t>
        </is>
      </c>
    </row>
    <row r="3">
      <c r="A3" s="60" t="inlineStr">
        <is>
          <t>Aerator gas inputs are at the right of the table (columns AD to AF).</t>
        </is>
      </c>
    </row>
    <row r="4">
      <c r="A4" s="17" t="inlineStr">
        <is>
          <t>Inputs</t>
        </is>
      </c>
      <c r="B4" s="17" t="n"/>
      <c r="C4" s="17" t="n"/>
      <c r="D4" s="17" t="n"/>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c r="AA4" s="17" t="n"/>
      <c r="AB4" s="17" t="n"/>
      <c r="AD4" s="61" t="inlineStr">
        <is>
          <t>Aerator gas inputs</t>
        </is>
      </c>
    </row>
    <row r="5">
      <c r="A5" s="14" t="inlineStr">
        <is>
          <t>Seed: price per bag ($)</t>
        </is>
      </c>
      <c r="D5" s="32" t="n">
        <v>128.89</v>
      </c>
      <c r="E5" s="11" t="inlineStr">
        <is>
          <t>SiteOne Englewood invoice 2026-07-24: 6 x 50 lb LESCO Tuf-Turf Seed Mixture, $773.34 with tax.</t>
        </is>
      </c>
      <c r="AD5" t="inlineStr">
        <is>
          <t>Aerator: fuel tank (gal)</t>
        </is>
      </c>
      <c r="AE5" s="62" t="n">
        <v>0.5</v>
      </c>
      <c r="AF5" t="inlineStr">
        <is>
          <t>Bobcat AE26-HON spec page (new.bobcat.com, read 2026-10-21): 0.5 gal. Honda lists the GX120 tank as 2.0 L.</t>
        </is>
      </c>
    </row>
    <row r="6">
      <c r="A6" s="14" t="inlineStr">
        <is>
          <t>Seed: pounds per bag</t>
        </is>
      </c>
      <c r="D6" s="42" t="n">
        <v>50</v>
      </c>
      <c r="E6" s="11" t="inlineStr">
        <is>
          <t>Same invoice.</t>
        </is>
      </c>
      <c r="AD6" t="inlineStr">
        <is>
          <t>Aerator: fuel burn (gal per hour)</t>
        </is>
      </c>
      <c r="AE6" s="64" t="n">
        <v>0.2642</v>
      </c>
      <c r="AF6" t="inlineStr">
        <is>
          <t>Honda GX120: 1.0 L/h at rated power (3,600 rpm), as republished by Honda dealers; not found on Honda’s own site. Full throttle: the most it burns.</t>
        </is>
      </c>
    </row>
    <row r="7">
      <c r="A7" s="14" t="inlineStr">
        <is>
          <t>Seed: lb per 1,000 sq ft when not recorded</t>
        </is>
      </c>
      <c r="D7" s="65" t="n">
        <v>3</v>
      </c>
      <c r="E7" s="11" t="inlineStr">
        <is>
          <t>The app's middle seeding rate (Bryce's 2 to 4 lb range; CSU says 3 to 4 after aeration).</t>
        </is>
      </c>
      <c r="AD7" t="inlineStr">
        <is>
          <t>Aerator: coverage (sq ft per hour)</t>
        </is>
      </c>
      <c r="AE7" s="66" t="n">
        <v>40400</v>
      </c>
      <c r="AF7" t="inlineStr">
        <is>
          <t>Bobcat AE26 maximum productivity at 3.5 mph, 26.5 in wide. No turns, trees or overlap: real jobs are slower.</t>
        </is>
      </c>
    </row>
    <row r="8">
      <c r="A8" s="14" t="inlineStr">
        <is>
          <t>Fertilizer: price per bag ($)</t>
        </is>
      </c>
      <c r="D8" s="32" t="n">
        <v>40</v>
      </c>
      <c r="E8" s="11" t="inlineStr">
        <is>
          <t>Matthew, 21 Oct 2026: $40 for a 50 lb bag.</t>
        </is>
      </c>
      <c r="AD8" t="inlineStr">
        <is>
          <t>Aerator: real pace (share of Bobcat’s top rate)</t>
        </is>
      </c>
      <c r="AE8" s="67" t="n">
        <v>1</v>
      </c>
      <c r="AF8" t="inlineStr">
        <is>
          <t>Yours to set. 100% = Bobcat’s figure (the least gas). Lower it once fill-ups show what a tank really covers.</t>
        </is>
      </c>
    </row>
    <row r="9">
      <c r="A9" s="14" t="inlineStr">
        <is>
          <t>Fertilizer: pounds per bag</t>
        </is>
      </c>
      <c r="D9" s="42" t="n">
        <v>50</v>
      </c>
      <c r="E9" s="11" t="inlineStr">
        <is>
          <t>Label.</t>
        </is>
      </c>
      <c r="AD9" t="inlineStr">
        <is>
          <t>Aerator: sq ft per tank</t>
        </is>
      </c>
      <c r="AE9" s="66">
        <f>AE5/AE6*AE7*AE8</f>
        <v/>
      </c>
      <c r="AF9" t="inlineStr">
        <is>
          <t>Worked out: tank / burn x coverage x pace.</t>
        </is>
      </c>
    </row>
    <row r="10">
      <c r="A10" s="14" t="inlineStr">
        <is>
          <t>Fertilizer: sq ft one bag covers</t>
        </is>
      </c>
      <c r="D10" s="42" t="n">
        <v>12000</v>
      </c>
      <c r="E10" s="11" t="inlineStr">
        <is>
          <t>Label: a 50 lb bag covers about 12,000 sq ft.</t>
        </is>
      </c>
    </row>
    <row r="11">
      <c r="A11" s="14" t="inlineStr">
        <is>
          <t>Gas: price per gallon ($)</t>
        </is>
      </c>
      <c r="D11" s="68" t="n">
        <v>4.244</v>
      </c>
      <c r="E11" s="11" t="inlineStr">
        <is>
          <t>EIA weekly retail, Denver regular, week of 2026-10-19 (what the app uses for quotes).</t>
        </is>
      </c>
    </row>
    <row r="12">
      <c r="A12" s="14" t="inlineStr">
        <is>
          <t>Truck: miles per gallon</t>
        </is>
      </c>
      <c r="D12" s="42" t="n">
        <v>18</v>
      </c>
      <c r="E12" s="11" t="inlineStr">
        <is>
          <t>The app's setting (Matthew, 2026-10-15).</t>
        </is>
      </c>
    </row>
    <row r="13">
      <c r="A13" s="14" t="inlineStr">
        <is>
          <t>Road miles per straight-line mile</t>
        </is>
      </c>
      <c r="D13" s="69" t="n">
        <v>1.3</v>
      </c>
      <c r="E13" s="11" t="inlineStr">
        <is>
          <t>The app's setting: roads are about 30% longer than a straight line.</t>
        </is>
      </c>
    </row>
    <row r="14">
      <c r="A14" s="14" t="inlineStr">
        <is>
          <t>Employee cost: share of each job's price</t>
        </is>
      </c>
      <c r="D14" s="33" t="n">
        <v>0.2</v>
      </c>
      <c r="E14" s="11" t="inlineStr">
        <is>
          <t>Matthew, 21 Oct 2026: a 20% employee cost on every job.</t>
        </is>
      </c>
    </row>
    <row r="15" ht="45" customHeight="1" s="63">
      <c r="A15" s="31" t="inlineStr">
        <is>
          <t>Date</t>
        </is>
      </c>
      <c r="B15" s="31" t="inlineStr">
        <is>
          <t>Customer</t>
        </is>
      </c>
      <c r="C15" s="31" t="inlineStr">
        <is>
          <t>Business</t>
        </is>
      </c>
      <c r="D15" s="31" t="inlineStr">
        <is>
          <t>Service</t>
        </is>
      </c>
      <c r="E15" s="31" t="inlineStr">
        <is>
          <t>Status</t>
        </is>
      </c>
      <c r="F15" s="31" t="inlineStr">
        <is>
          <t>Crew</t>
        </is>
      </c>
      <c r="G15" s="31" t="inlineStr">
        <is>
          <t>Price ($)</t>
        </is>
      </c>
      <c r="H15" s="31" t="inlineStr">
        <is>
          <t>Collected ($)</t>
        </is>
      </c>
      <c r="I15" s="31" t="inlineStr">
        <is>
          <t>Still owed ($)</t>
        </is>
      </c>
      <c r="J15" s="31" t="inlineStr">
        <is>
          <t>Lawn sq ft</t>
        </is>
      </c>
      <c r="K15" s="31" t="inlineStr">
        <is>
          <t>Lawn size from</t>
        </is>
      </c>
      <c r="L15" s="31" t="inlineStr">
        <is>
          <t>Seed lb recorded</t>
        </is>
      </c>
      <c r="M15" s="31" t="inlineStr">
        <is>
          <t>Seed lb used</t>
        </is>
      </c>
      <c r="N15" s="31" t="inlineStr">
        <is>
          <t>Seed ($)</t>
        </is>
      </c>
      <c r="O15" s="31" t="inlineStr">
        <is>
          <t>Fert lb recorded</t>
        </is>
      </c>
      <c r="P15" s="31" t="inlineStr">
        <is>
          <t>Fert lb used</t>
        </is>
      </c>
      <c r="Q15" s="31" t="inlineStr">
        <is>
          <t>Fert ($)</t>
        </is>
      </c>
      <c r="R15" s="31" t="inlineStr">
        <is>
          <t>Miles one way (straight line)</t>
        </is>
      </c>
      <c r="S15" s="31" t="inlineStr">
        <is>
          <t>Gas ($)</t>
        </is>
      </c>
      <c r="T15" s="31" t="inlineStr">
        <is>
          <t>Gas override ($)</t>
        </is>
      </c>
      <c r="U15" s="31" t="inlineStr">
        <is>
          <t>Square fees ($)</t>
        </is>
      </c>
      <c r="V15" s="31" t="inlineStr">
        <is>
          <t>Other materials ($)</t>
        </is>
      </c>
      <c r="W15" s="31" t="inlineStr">
        <is>
          <t>Employee cost override ($)</t>
        </is>
      </c>
      <c r="X15" s="31" t="inlineStr">
        <is>
          <t>Employee cost, 20% ($)</t>
        </is>
      </c>
      <c r="Y15" s="31" t="inlineStr">
        <is>
          <t>Job cost ($)</t>
        </is>
      </c>
      <c r="Z15" s="31" t="inlineStr">
        <is>
          <t>Job profit ($)</t>
        </is>
      </c>
      <c r="AA15" s="31" t="inlineStr">
        <is>
          <t>Margin</t>
        </is>
      </c>
      <c r="AB15" s="31" t="inlineStr">
        <is>
          <t>Month</t>
        </is>
      </c>
      <c r="AC15" s="31" t="inlineStr">
        <is>
          <t>Aerator gas ($)</t>
        </is>
      </c>
    </row>
    <row r="16">
      <c r="A16" s="58" t="n">
        <v>46282</v>
      </c>
      <c r="B16" s="6" t="inlineStr">
        <is>
          <t>Kara R.</t>
        </is>
      </c>
      <c r="C16" s="6" t="inlineStr">
        <is>
          <t>Sixfold</t>
        </is>
      </c>
      <c r="D16" s="6" t="inlineStr">
        <is>
          <t>Landscaping</t>
        </is>
      </c>
      <c r="E16" s="6" t="inlineStr">
        <is>
          <t>Done</t>
        </is>
      </c>
      <c r="F16" s="35" t="inlineStr"/>
      <c r="G16" s="70" t="n">
        <v>1500</v>
      </c>
      <c r="H16" s="70" t="n">
        <v>1500</v>
      </c>
      <c r="I16" s="55">
        <f>G16-H16</f>
        <v/>
      </c>
      <c r="J16" s="14" t="n"/>
      <c r="K16" s="11" t="inlineStr">
        <is>
          <t>No lawn: landscaping</t>
        </is>
      </c>
      <c r="L16" s="47" t="n">
        <v>0</v>
      </c>
      <c r="M16" s="48">
        <f>IF(L16&lt;&gt;"",N(L16),N(J16)/1000*$D$7)</f>
        <v/>
      </c>
      <c r="N16" s="16">
        <f>M16*($D$5/$D$6)</f>
        <v/>
      </c>
      <c r="O16" s="47" t="n">
        <v>0</v>
      </c>
      <c r="P16" s="48">
        <f>IF(O16&lt;&gt;"",N(O16),N(J16)*($D$9/$D$10))</f>
        <v/>
      </c>
      <c r="Q16" s="16">
        <f>P16*($D$8/$D$9)</f>
        <v/>
      </c>
      <c r="R16" s="71" t="n"/>
      <c r="S16" s="16">
        <f>IF(T16&lt;&gt;"",N(T16),N(R16)*$D$13*2/$D$12*$D$11)</f>
        <v/>
      </c>
      <c r="T16" s="19" t="n"/>
      <c r="U16" s="15">
        <f>SUMIFS(Payments!$H$5:$H$26,Payments!$K$5:$K$26,B16,Payments!$L$5:$L$26,A16)</f>
        <v/>
      </c>
      <c r="V16" s="19" t="n"/>
      <c r="W16" s="19" t="n"/>
      <c r="X16" s="16">
        <f>IF(W16&lt;&gt;"",N(W16),G16*$D$14)</f>
        <v/>
      </c>
      <c r="Y16" s="16">
        <f>N16+Q16+S16+U16+N(V16)+X16+N(AC16)</f>
        <v/>
      </c>
      <c r="Z16" s="16">
        <f>G16-Y16</f>
        <v/>
      </c>
      <c r="AA16" s="24">
        <f>IF(G16=0,0,Z16/G16)</f>
        <v/>
      </c>
      <c r="AB16" s="14">
        <f>TEXT(A16,"yyyy-mm")</f>
        <v/>
      </c>
      <c r="AC16" s="41">
        <f>N(J16)/($AE$7*$AE$8)*$AE$6*$D$11</f>
        <v/>
      </c>
    </row>
    <row r="17">
      <c r="A17" s="58" t="n">
        <v>46307</v>
      </c>
      <c r="B17" s="6" t="inlineStr">
        <is>
          <t>Kara R.</t>
        </is>
      </c>
      <c r="C17" s="6" t="inlineStr">
        <is>
          <t>Sixfold</t>
        </is>
      </c>
      <c r="D17" s="6" t="inlineStr">
        <is>
          <t>Aeration</t>
        </is>
      </c>
      <c r="E17" s="6" t="inlineStr">
        <is>
          <t>Done</t>
        </is>
      </c>
      <c r="F17" s="35" t="inlineStr"/>
      <c r="G17" s="70" t="n">
        <v>1100</v>
      </c>
      <c r="H17" s="70" t="n">
        <v>1100</v>
      </c>
      <c r="I17" s="55">
        <f>G17-H17</f>
        <v/>
      </c>
      <c r="J17" s="38" t="n"/>
      <c r="K17" s="11" t="inlineStr">
        <is>
          <t>Not recorded</t>
        </is>
      </c>
      <c r="L17" s="50" t="n"/>
      <c r="M17" s="48">
        <f>IF(L17&lt;&gt;"",N(L17),N(J17)/1000*$D$7)</f>
        <v/>
      </c>
      <c r="N17" s="16">
        <f>M17*($D$5/$D$6)</f>
        <v/>
      </c>
      <c r="O17" s="50" t="n"/>
      <c r="P17" s="48">
        <f>IF(O17&lt;&gt;"",N(O17),N(J17)*($D$9/$D$10))</f>
        <v/>
      </c>
      <c r="Q17" s="16">
        <f>P17*($D$8/$D$9)</f>
        <v/>
      </c>
      <c r="R17" s="71" t="n"/>
      <c r="S17" s="16">
        <f>IF(T17&lt;&gt;"",N(T17),N(R17)*$D$13*2/$D$12*$D$11)</f>
        <v/>
      </c>
      <c r="T17" s="19" t="n"/>
      <c r="U17" s="15">
        <f>SUMIFS(Payments!$H$5:$H$26,Payments!$K$5:$K$26,B17,Payments!$L$5:$L$26,A17)</f>
        <v/>
      </c>
      <c r="V17" s="19" t="n"/>
      <c r="W17" s="19" t="n"/>
      <c r="X17" s="16">
        <f>IF(W17&lt;&gt;"",N(W17),G17*$D$14)</f>
        <v/>
      </c>
      <c r="Y17" s="16">
        <f>N17+Q17+S17+U17+N(V17)+X17+N(AC17)</f>
        <v/>
      </c>
      <c r="Z17" s="16">
        <f>G17-Y17</f>
        <v/>
      </c>
      <c r="AA17" s="24">
        <f>IF(G17=0,0,Z17/G17)</f>
        <v/>
      </c>
      <c r="AB17" s="14">
        <f>TEXT(A17,"yyyy-mm")</f>
        <v/>
      </c>
      <c r="AC17" s="41">
        <f>N(J17)/($AE$7*$AE$8)*$AE$6*$D$11</f>
        <v/>
      </c>
    </row>
    <row r="18">
      <c r="A18" s="58" t="n">
        <v>46311</v>
      </c>
      <c r="B18" s="6" t="inlineStr">
        <is>
          <t>Brian S.</t>
        </is>
      </c>
      <c r="C18" s="6" t="inlineStr">
        <is>
          <t>Sixfold</t>
        </is>
      </c>
      <c r="D18" s="6" t="inlineStr">
        <is>
          <t>Aeration</t>
        </is>
      </c>
      <c r="E18" s="6" t="inlineStr">
        <is>
          <t>Done</t>
        </is>
      </c>
      <c r="F18" s="6" t="inlineStr">
        <is>
          <t>Brad McPherson</t>
        </is>
      </c>
      <c r="G18" s="70" t="n">
        <v>400</v>
      </c>
      <c r="H18" s="70" t="n">
        <v>200</v>
      </c>
      <c r="I18" s="55">
        <f>G18-H18</f>
        <v/>
      </c>
      <c r="J18" s="38" t="n"/>
      <c r="K18" s="11" t="inlineStr">
        <is>
          <t>Aerial: trees cover it</t>
        </is>
      </c>
      <c r="L18" s="50" t="n"/>
      <c r="M18" s="48">
        <f>IF(L18&lt;&gt;"",N(L18),N(J18)/1000*$D$7)</f>
        <v/>
      </c>
      <c r="N18" s="16">
        <f>M18*($D$5/$D$6)</f>
        <v/>
      </c>
      <c r="O18" s="50" t="n"/>
      <c r="P18" s="48">
        <f>IF(O18&lt;&gt;"",N(O18),N(J18)*($D$9/$D$10))</f>
        <v/>
      </c>
      <c r="Q18" s="16">
        <f>P18*($D$8/$D$9)</f>
        <v/>
      </c>
      <c r="R18" s="65" t="n">
        <v>17.23</v>
      </c>
      <c r="S18" s="16">
        <f>IF(T18&lt;&gt;"",N(T18),N(R18)*$D$13*2/$D$12*$D$11)</f>
        <v/>
      </c>
      <c r="T18" s="19" t="n"/>
      <c r="U18" s="15">
        <f>SUMIFS(Payments!$H$5:$H$26,Payments!$K$5:$K$26,B18,Payments!$L$5:$L$26,A18)</f>
        <v/>
      </c>
      <c r="V18" s="19" t="n"/>
      <c r="W18" s="19" t="n"/>
      <c r="X18" s="16">
        <f>IF(W18&lt;&gt;"",N(W18),G18*$D$14)</f>
        <v/>
      </c>
      <c r="Y18" s="16">
        <f>N18+Q18+S18+U18+N(V18)+X18+N(AC18)</f>
        <v/>
      </c>
      <c r="Z18" s="16">
        <f>G18-Y18</f>
        <v/>
      </c>
      <c r="AA18" s="24">
        <f>IF(G18=0,0,Z18/G18)</f>
        <v/>
      </c>
      <c r="AB18" s="14">
        <f>TEXT(A18,"yyyy-mm")</f>
        <v/>
      </c>
      <c r="AC18" s="41">
        <f>N(J18)/($AE$7*$AE$8)*$AE$6*$D$11</f>
        <v/>
      </c>
    </row>
    <row r="19">
      <c r="A19" s="58" t="n">
        <v>46311</v>
      </c>
      <c r="B19" s="6" t="inlineStr">
        <is>
          <t>Russ K.</t>
        </is>
      </c>
      <c r="C19" s="6" t="inlineStr">
        <is>
          <t>365</t>
        </is>
      </c>
      <c r="D19" s="6" t="inlineStr">
        <is>
          <t>Aeration + seed</t>
        </is>
      </c>
      <c r="E19" s="6" t="inlineStr">
        <is>
          <t>Done</t>
        </is>
      </c>
      <c r="F19" s="6" t="inlineStr">
        <is>
          <t>Brad McPherson</t>
        </is>
      </c>
      <c r="G19" s="70" t="n">
        <v>200</v>
      </c>
      <c r="H19" s="70" t="n">
        <v>200</v>
      </c>
      <c r="I19" s="55">
        <f>G19-H19</f>
        <v/>
      </c>
      <c r="J19" s="42" t="n">
        <v>800</v>
      </c>
      <c r="K19" s="11" t="inlineStr">
        <is>
          <t>Aerial estimate</t>
        </is>
      </c>
      <c r="L19" s="50" t="n"/>
      <c r="M19" s="48">
        <f>IF(L19&lt;&gt;"",N(L19),N(J19)/1000*$D$7)</f>
        <v/>
      </c>
      <c r="N19" s="16">
        <f>M19*($D$5/$D$6)</f>
        <v/>
      </c>
      <c r="O19" s="50" t="n"/>
      <c r="P19" s="48">
        <f>IF(O19&lt;&gt;"",N(O19),N(J19)*($D$9/$D$10))</f>
        <v/>
      </c>
      <c r="Q19" s="16">
        <f>P19*($D$8/$D$9)</f>
        <v/>
      </c>
      <c r="R19" s="65" t="n">
        <v>8.91</v>
      </c>
      <c r="S19" s="16">
        <f>IF(T19&lt;&gt;"",N(T19),N(R19)*$D$13*2/$D$12*$D$11)</f>
        <v/>
      </c>
      <c r="T19" s="19" t="n"/>
      <c r="U19" s="15">
        <f>SUMIFS(Payments!$H$5:$H$26,Payments!$K$5:$K$26,B19,Payments!$L$5:$L$26,A19)</f>
        <v/>
      </c>
      <c r="V19" s="19" t="n"/>
      <c r="W19" s="19" t="n"/>
      <c r="X19" s="16">
        <f>IF(W19&lt;&gt;"",N(W19),G19*$D$14)</f>
        <v/>
      </c>
      <c r="Y19" s="16">
        <f>N19+Q19+S19+U19+N(V19)+X19+N(AC19)</f>
        <v/>
      </c>
      <c r="Z19" s="16">
        <f>G19-Y19</f>
        <v/>
      </c>
      <c r="AA19" s="24">
        <f>IF(G19=0,0,Z19/G19)</f>
        <v/>
      </c>
      <c r="AB19" s="14">
        <f>TEXT(A19,"yyyy-mm")</f>
        <v/>
      </c>
      <c r="AC19" s="41">
        <f>N(J19)/($AE$7*$AE$8)*$AE$6*$D$11</f>
        <v/>
      </c>
    </row>
    <row r="20">
      <c r="A20" s="58" t="n">
        <v>46311</v>
      </c>
      <c r="B20" s="6" t="inlineStr">
        <is>
          <t>Eric V.</t>
        </is>
      </c>
      <c r="C20" s="6" t="inlineStr">
        <is>
          <t>365</t>
        </is>
      </c>
      <c r="D20" s="6" t="inlineStr">
        <is>
          <t>Aeration + seed</t>
        </is>
      </c>
      <c r="E20" s="6" t="inlineStr">
        <is>
          <t>Done</t>
        </is>
      </c>
      <c r="F20" s="6" t="inlineStr">
        <is>
          <t>Brad McPherson</t>
        </is>
      </c>
      <c r="G20" s="70" t="n">
        <v>200</v>
      </c>
      <c r="H20" s="70" t="n">
        <v>200</v>
      </c>
      <c r="I20" s="55">
        <f>G20-H20</f>
        <v/>
      </c>
      <c r="J20" s="42" t="n">
        <v>700</v>
      </c>
      <c r="K20" s="11" t="inlineStr">
        <is>
          <t>Aerial estimate</t>
        </is>
      </c>
      <c r="L20" s="50" t="n"/>
      <c r="M20" s="48">
        <f>IF(L20&lt;&gt;"",N(L20),N(J20)/1000*$D$7)</f>
        <v/>
      </c>
      <c r="N20" s="16">
        <f>M20*($D$5/$D$6)</f>
        <v/>
      </c>
      <c r="O20" s="50" t="n"/>
      <c r="P20" s="48">
        <f>IF(O20&lt;&gt;"",N(O20),N(J20)*($D$9/$D$10))</f>
        <v/>
      </c>
      <c r="Q20" s="16">
        <f>P20*($D$8/$D$9)</f>
        <v/>
      </c>
      <c r="R20" s="65" t="n">
        <v>8.92</v>
      </c>
      <c r="S20" s="16">
        <f>IF(T20&lt;&gt;"",N(T20),N(R20)*$D$13*2/$D$12*$D$11)</f>
        <v/>
      </c>
      <c r="T20" s="19" t="n"/>
      <c r="U20" s="15">
        <f>SUMIFS(Payments!$H$5:$H$26,Payments!$K$5:$K$26,B20,Payments!$L$5:$L$26,A20)</f>
        <v/>
      </c>
      <c r="V20" s="19" t="n"/>
      <c r="W20" s="19" t="n"/>
      <c r="X20" s="16">
        <f>IF(W20&lt;&gt;"",N(W20),G20*$D$14)</f>
        <v/>
      </c>
      <c r="Y20" s="16">
        <f>N20+Q20+S20+U20+N(V20)+X20+N(AC20)</f>
        <v/>
      </c>
      <c r="Z20" s="16">
        <f>G20-Y20</f>
        <v/>
      </c>
      <c r="AA20" s="24">
        <f>IF(G20=0,0,Z20/G20)</f>
        <v/>
      </c>
      <c r="AB20" s="14">
        <f>TEXT(A20,"yyyy-mm")</f>
        <v/>
      </c>
      <c r="AC20" s="41">
        <f>N(J20)/($AE$7*$AE$8)*$AE$6*$D$11</f>
        <v/>
      </c>
    </row>
    <row r="21">
      <c r="A21" s="58" t="n">
        <v>46311</v>
      </c>
      <c r="B21" s="6" t="inlineStr">
        <is>
          <t>Carlos P.</t>
        </is>
      </c>
      <c r="C21" s="6" t="inlineStr">
        <is>
          <t>365</t>
        </is>
      </c>
      <c r="D21" s="6" t="inlineStr">
        <is>
          <t>Aeration + seed</t>
        </is>
      </c>
      <c r="E21" s="6" t="inlineStr">
        <is>
          <t>Done</t>
        </is>
      </c>
      <c r="F21" s="6" t="inlineStr">
        <is>
          <t>Brandon Long</t>
        </is>
      </c>
      <c r="G21" s="70" t="n">
        <v>175</v>
      </c>
      <c r="H21" s="70" t="n">
        <v>175</v>
      </c>
      <c r="I21" s="55">
        <f>G21-H21</f>
        <v/>
      </c>
      <c r="J21" s="42" t="n">
        <v>1300</v>
      </c>
      <c r="K21" s="11" t="inlineStr">
        <is>
          <t>Jen's quote</t>
        </is>
      </c>
      <c r="L21" s="47" t="n">
        <v>2.6</v>
      </c>
      <c r="M21" s="48">
        <f>IF(L21&lt;&gt;"",N(L21),N(J21)/1000*$D$7)</f>
        <v/>
      </c>
      <c r="N21" s="16">
        <f>M21*($D$5/$D$6)</f>
        <v/>
      </c>
      <c r="O21" s="47" t="n">
        <v>5.4</v>
      </c>
      <c r="P21" s="48">
        <f>IF(O21&lt;&gt;"",N(O21),N(J21)*($D$9/$D$10))</f>
        <v/>
      </c>
      <c r="Q21" s="16">
        <f>P21*($D$8/$D$9)</f>
        <v/>
      </c>
      <c r="R21" s="71" t="n"/>
      <c r="S21" s="16">
        <f>IF(T21&lt;&gt;"",N(T21),N(R21)*$D$13*2/$D$12*$D$11)</f>
        <v/>
      </c>
      <c r="T21" s="19" t="n"/>
      <c r="U21" s="15">
        <f>SUMIFS(Payments!$H$5:$H$26,Payments!$K$5:$K$26,B21,Payments!$L$5:$L$26,A21)</f>
        <v/>
      </c>
      <c r="V21" s="19" t="n"/>
      <c r="W21" s="19" t="n"/>
      <c r="X21" s="16">
        <f>IF(W21&lt;&gt;"",N(W21),G21*$D$14)</f>
        <v/>
      </c>
      <c r="Y21" s="16">
        <f>N21+Q21+S21+U21+N(V21)+X21+N(AC21)</f>
        <v/>
      </c>
      <c r="Z21" s="16">
        <f>G21-Y21</f>
        <v/>
      </c>
      <c r="AA21" s="24">
        <f>IF(G21=0,0,Z21/G21)</f>
        <v/>
      </c>
      <c r="AB21" s="14">
        <f>TEXT(A21,"yyyy-mm")</f>
        <v/>
      </c>
      <c r="AC21" s="41">
        <f>N(J21)/($AE$7*$AE$8)*$AE$6*$D$11</f>
        <v/>
      </c>
    </row>
    <row r="22">
      <c r="A22" s="58" t="n">
        <v>46314</v>
      </c>
      <c r="B22" s="6" t="inlineStr">
        <is>
          <t>Kirk C.</t>
        </is>
      </c>
      <c r="C22" s="6" t="inlineStr">
        <is>
          <t>365</t>
        </is>
      </c>
      <c r="D22" s="6" t="inlineStr">
        <is>
          <t>Aeration + seed</t>
        </is>
      </c>
      <c r="E22" s="6" t="inlineStr">
        <is>
          <t>Done</t>
        </is>
      </c>
      <c r="F22" s="6" t="inlineStr">
        <is>
          <t>Brad McPherson</t>
        </is>
      </c>
      <c r="G22" s="70" t="n">
        <v>299</v>
      </c>
      <c r="H22" s="70" t="n">
        <v>299</v>
      </c>
      <c r="I22" s="55">
        <f>G22-H22</f>
        <v/>
      </c>
      <c r="J22" s="42" t="n">
        <v>3600</v>
      </c>
      <c r="K22" s="11" t="inlineStr">
        <is>
          <t>Aerial estimate</t>
        </is>
      </c>
      <c r="L22" s="50" t="n"/>
      <c r="M22" s="48">
        <f>IF(L22&lt;&gt;"",N(L22),N(J22)/1000*$D$7)</f>
        <v/>
      </c>
      <c r="N22" s="16">
        <f>M22*($D$5/$D$6)</f>
        <v/>
      </c>
      <c r="O22" s="50" t="n"/>
      <c r="P22" s="48">
        <f>IF(O22&lt;&gt;"",N(O22),N(J22)*($D$9/$D$10))</f>
        <v/>
      </c>
      <c r="Q22" s="16">
        <f>P22*($D$8/$D$9)</f>
        <v/>
      </c>
      <c r="R22" s="65" t="n">
        <v>16.04</v>
      </c>
      <c r="S22" s="16">
        <f>IF(T22&lt;&gt;"",N(T22),N(R22)*$D$13*2/$D$12*$D$11)</f>
        <v/>
      </c>
      <c r="T22" s="19" t="n"/>
      <c r="U22" s="15">
        <f>SUMIFS(Payments!$H$5:$H$26,Payments!$K$5:$K$26,B22,Payments!$L$5:$L$26,A22)</f>
        <v/>
      </c>
      <c r="V22" s="19" t="n"/>
      <c r="W22" s="19" t="n"/>
      <c r="X22" s="16">
        <f>IF(W22&lt;&gt;"",N(W22),G22*$D$14)</f>
        <v/>
      </c>
      <c r="Y22" s="16">
        <f>N22+Q22+S22+U22+N(V22)+X22+N(AC22)</f>
        <v/>
      </c>
      <c r="Z22" s="16">
        <f>G22-Y22</f>
        <v/>
      </c>
      <c r="AA22" s="24">
        <f>IF(G22=0,0,Z22/G22)</f>
        <v/>
      </c>
      <c r="AB22" s="14">
        <f>TEXT(A22,"yyyy-mm")</f>
        <v/>
      </c>
      <c r="AC22" s="41">
        <f>N(J22)/($AE$7*$AE$8)*$AE$6*$D$11</f>
        <v/>
      </c>
    </row>
    <row r="23">
      <c r="A23" s="58" t="n">
        <v>46315</v>
      </c>
      <c r="B23" s="6" t="inlineStr">
        <is>
          <t>Jeremy</t>
        </is>
      </c>
      <c r="C23" s="6" t="inlineStr">
        <is>
          <t>365</t>
        </is>
      </c>
      <c r="D23" s="6" t="inlineStr">
        <is>
          <t>Aeration + seed</t>
        </is>
      </c>
      <c r="E23" s="6" t="inlineStr">
        <is>
          <t>Done</t>
        </is>
      </c>
      <c r="F23" s="6" t="inlineStr">
        <is>
          <t>Brad McPherson</t>
        </is>
      </c>
      <c r="G23" s="70" t="n">
        <v>350</v>
      </c>
      <c r="H23" s="70" t="n">
        <v>350</v>
      </c>
      <c r="I23" s="55">
        <f>G23-H23</f>
        <v/>
      </c>
      <c r="J23" s="42" t="n">
        <v>1000</v>
      </c>
      <c r="K23" s="11" t="inlineStr">
        <is>
          <t>Jen's quote</t>
        </is>
      </c>
      <c r="L23" s="47" t="n">
        <v>3</v>
      </c>
      <c r="M23" s="48">
        <f>IF(L23&lt;&gt;"",N(L23),N(J23)/1000*$D$7)</f>
        <v/>
      </c>
      <c r="N23" s="16">
        <f>M23*($D$5/$D$6)</f>
        <v/>
      </c>
      <c r="O23" s="47" t="n">
        <v>4.2</v>
      </c>
      <c r="P23" s="48">
        <f>IF(O23&lt;&gt;"",N(O23),N(J23)*($D$9/$D$10))</f>
        <v/>
      </c>
      <c r="Q23" s="16">
        <f>P23*($D$8/$D$9)</f>
        <v/>
      </c>
      <c r="R23" s="65" t="n">
        <v>12.78</v>
      </c>
      <c r="S23" s="16">
        <f>IF(T23&lt;&gt;"",N(T23),N(R23)*$D$13*2/$D$12*$D$11)</f>
        <v/>
      </c>
      <c r="T23" s="19" t="n"/>
      <c r="U23" s="15">
        <f>SUMIFS(Payments!$H$5:$H$26,Payments!$K$5:$K$26,B23,Payments!$L$5:$L$26,A23)</f>
        <v/>
      </c>
      <c r="V23" s="19" t="n"/>
      <c r="W23" s="19" t="n"/>
      <c r="X23" s="16">
        <f>IF(W23&lt;&gt;"",N(W23),G23*$D$14)</f>
        <v/>
      </c>
      <c r="Y23" s="16">
        <f>N23+Q23+S23+U23+N(V23)+X23+N(AC23)</f>
        <v/>
      </c>
      <c r="Z23" s="16">
        <f>G23-Y23</f>
        <v/>
      </c>
      <c r="AA23" s="24">
        <f>IF(G23=0,0,Z23/G23)</f>
        <v/>
      </c>
      <c r="AB23" s="14">
        <f>TEXT(A23,"yyyy-mm")</f>
        <v/>
      </c>
      <c r="AC23" s="41">
        <f>N(J23)/($AE$7*$AE$8)*$AE$6*$D$11</f>
        <v/>
      </c>
    </row>
    <row r="24">
      <c r="A24" s="58" t="n">
        <v>46315</v>
      </c>
      <c r="B24" s="6" t="inlineStr">
        <is>
          <t>Randy C.</t>
        </is>
      </c>
      <c r="C24" s="6" t="inlineStr">
        <is>
          <t>365</t>
        </is>
      </c>
      <c r="D24" s="6" t="inlineStr">
        <is>
          <t>Aeration + seed</t>
        </is>
      </c>
      <c r="E24" s="6" t="inlineStr">
        <is>
          <t>Done</t>
        </is>
      </c>
      <c r="F24" s="6" t="inlineStr">
        <is>
          <t>Brad McPherson</t>
        </is>
      </c>
      <c r="G24" s="70" t="n">
        <v>468</v>
      </c>
      <c r="H24" s="70" t="n">
        <v>468</v>
      </c>
      <c r="I24" s="55">
        <f>G24-H24</f>
        <v/>
      </c>
      <c r="J24" s="42" t="n">
        <v>2200</v>
      </c>
      <c r="K24" s="11" t="inlineStr">
        <is>
          <t>Jen's quote</t>
        </is>
      </c>
      <c r="L24" s="47" t="n">
        <v>7.6</v>
      </c>
      <c r="M24" s="48">
        <f>IF(L24&lt;&gt;"",N(L24),N(J24)/1000*$D$7)</f>
        <v/>
      </c>
      <c r="N24" s="16">
        <f>M24*($D$5/$D$6)</f>
        <v/>
      </c>
      <c r="O24" s="47" t="n">
        <v>9.199999999999999</v>
      </c>
      <c r="P24" s="48">
        <f>IF(O24&lt;&gt;"",N(O24),N(J24)*($D$9/$D$10))</f>
        <v/>
      </c>
      <c r="Q24" s="16">
        <f>P24*($D$8/$D$9)</f>
        <v/>
      </c>
      <c r="R24" s="65" t="n">
        <v>13.07</v>
      </c>
      <c r="S24" s="16">
        <f>IF(T24&lt;&gt;"",N(T24),N(R24)*$D$13*2/$D$12*$D$11)</f>
        <v/>
      </c>
      <c r="T24" s="19" t="n"/>
      <c r="U24" s="15">
        <f>SUMIFS(Payments!$H$5:$H$26,Payments!$K$5:$K$26,B24,Payments!$L$5:$L$26,A24)</f>
        <v/>
      </c>
      <c r="V24" s="19" t="n"/>
      <c r="W24" s="19" t="n"/>
      <c r="X24" s="16">
        <f>IF(W24&lt;&gt;"",N(W24),G24*$D$14)</f>
        <v/>
      </c>
      <c r="Y24" s="16">
        <f>N24+Q24+S24+U24+N(V24)+X24+N(AC24)</f>
        <v/>
      </c>
      <c r="Z24" s="16">
        <f>G24-Y24</f>
        <v/>
      </c>
      <c r="AA24" s="24">
        <f>IF(G24=0,0,Z24/G24)</f>
        <v/>
      </c>
      <c r="AB24" s="14">
        <f>TEXT(A24,"yyyy-mm")</f>
        <v/>
      </c>
      <c r="AC24" s="41">
        <f>N(J24)/($AE$7*$AE$8)*$AE$6*$D$11</f>
        <v/>
      </c>
    </row>
    <row r="25">
      <c r="A25" s="58" t="n">
        <v>46318</v>
      </c>
      <c r="B25" s="6" t="inlineStr">
        <is>
          <t>Sreenivas K.</t>
        </is>
      </c>
      <c r="C25" s="6" t="inlineStr">
        <is>
          <t>365</t>
        </is>
      </c>
      <c r="D25" s="6" t="inlineStr">
        <is>
          <t>Aeration + seed</t>
        </is>
      </c>
      <c r="E25" s="6" t="inlineStr">
        <is>
          <t>Booked</t>
        </is>
      </c>
      <c r="F25" s="6" t="inlineStr">
        <is>
          <t>Brad McPherson</t>
        </is>
      </c>
      <c r="G25" s="70" t="n">
        <v>339</v>
      </c>
      <c r="H25" s="70" t="n">
        <v>50</v>
      </c>
      <c r="I25" s="55">
        <f>G25-H25</f>
        <v/>
      </c>
      <c r="J25" s="42" t="n">
        <v>200</v>
      </c>
      <c r="K25" s="11" t="inlineStr">
        <is>
          <t>Aerial: looks too small, check</t>
        </is>
      </c>
      <c r="L25" s="50" t="n"/>
      <c r="M25" s="48">
        <f>IF(L25&lt;&gt;"",N(L25),N(J25)/1000*$D$7)</f>
        <v/>
      </c>
      <c r="N25" s="16">
        <f>M25*($D$5/$D$6)</f>
        <v/>
      </c>
      <c r="O25" s="50" t="n"/>
      <c r="P25" s="48">
        <f>IF(O25&lt;&gt;"",N(O25),N(J25)*($D$9/$D$10))</f>
        <v/>
      </c>
      <c r="Q25" s="16">
        <f>P25*($D$8/$D$9)</f>
        <v/>
      </c>
      <c r="R25" s="65" t="n">
        <v>9.24</v>
      </c>
      <c r="S25" s="16">
        <f>IF(T25&lt;&gt;"",N(T25),N(R25)*$D$13*2/$D$12*$D$11)</f>
        <v/>
      </c>
      <c r="T25" s="19" t="n"/>
      <c r="U25" s="15">
        <f>SUMIFS(Payments!$H$5:$H$26,Payments!$K$5:$K$26,B25,Payments!$L$5:$L$26,A25)</f>
        <v/>
      </c>
      <c r="V25" s="19" t="n"/>
      <c r="W25" s="19" t="n"/>
      <c r="X25" s="16">
        <f>IF(W25&lt;&gt;"",N(W25),G25*$D$14)</f>
        <v/>
      </c>
      <c r="Y25" s="16">
        <f>N25+Q25+S25+U25+N(V25)+X25+N(AC25)</f>
        <v/>
      </c>
      <c r="Z25" s="16">
        <f>G25-Y25</f>
        <v/>
      </c>
      <c r="AA25" s="24">
        <f>IF(G25=0,0,Z25/G25)</f>
        <v/>
      </c>
      <c r="AB25" s="14">
        <f>TEXT(A25,"yyyy-mm")</f>
        <v/>
      </c>
      <c r="AC25" s="41">
        <f>N(J25)/($AE$7*$AE$8)*$AE$6*$D$11</f>
        <v/>
      </c>
    </row>
    <row r="26">
      <c r="A26" s="58" t="n">
        <v>46325</v>
      </c>
      <c r="B26" s="6" t="inlineStr">
        <is>
          <t>Joseph B.</t>
        </is>
      </c>
      <c r="C26" s="6" t="inlineStr">
        <is>
          <t>365</t>
        </is>
      </c>
      <c r="D26" s="6" t="inlineStr">
        <is>
          <t>Aeration + seed</t>
        </is>
      </c>
      <c r="E26" s="6" t="inlineStr">
        <is>
          <t>Booked</t>
        </is>
      </c>
      <c r="F26" s="6" t="inlineStr">
        <is>
          <t>Brad McPherson</t>
        </is>
      </c>
      <c r="G26" s="70" t="n">
        <v>814</v>
      </c>
      <c r="H26" s="70" t="n">
        <v>200</v>
      </c>
      <c r="I26" s="55">
        <f>G26-H26</f>
        <v/>
      </c>
      <c r="J26" s="38" t="n"/>
      <c r="K26" s="11" t="inlineStr">
        <is>
          <t>Not recorded</t>
        </is>
      </c>
      <c r="L26" s="50" t="n"/>
      <c r="M26" s="48">
        <f>IF(L26&lt;&gt;"",N(L26),N(J26)/1000*$D$7)</f>
        <v/>
      </c>
      <c r="N26" s="16">
        <f>M26*($D$5/$D$6)</f>
        <v/>
      </c>
      <c r="O26" s="50" t="n"/>
      <c r="P26" s="48">
        <f>IF(O26&lt;&gt;"",N(O26),N(J26)*($D$9/$D$10))</f>
        <v/>
      </c>
      <c r="Q26" s="16">
        <f>P26*($D$8/$D$9)</f>
        <v/>
      </c>
      <c r="R26" s="71" t="n"/>
      <c r="S26" s="16">
        <f>IF(T26&lt;&gt;"",N(T26),N(R26)*$D$13*2/$D$12*$D$11)</f>
        <v/>
      </c>
      <c r="T26" s="19" t="n"/>
      <c r="U26" s="15">
        <f>SUMIFS(Payments!$H$5:$H$26,Payments!$K$5:$K$26,B26,Payments!$L$5:$L$26,A26)</f>
        <v/>
      </c>
      <c r="V26" s="19" t="n"/>
      <c r="W26" s="19" t="n"/>
      <c r="X26" s="16">
        <f>IF(W26&lt;&gt;"",N(W26),G26*$D$14)</f>
        <v/>
      </c>
      <c r="Y26" s="16">
        <f>N26+Q26+S26+U26+N(V26)+X26+N(AC26)</f>
        <v/>
      </c>
      <c r="Z26" s="16">
        <f>G26-Y26</f>
        <v/>
      </c>
      <c r="AA26" s="24">
        <f>IF(G26=0,0,Z26/G26)</f>
        <v/>
      </c>
      <c r="AB26" s="14">
        <f>TEXT(A26,"yyyy-mm")</f>
        <v/>
      </c>
      <c r="AC26" s="41">
        <f>N(J26)/($AE$7*$AE$8)*$AE$6*$D$11</f>
        <v/>
      </c>
    </row>
    <row r="27">
      <c r="A27" s="59" t="n"/>
      <c r="G27" s="41" t="n"/>
      <c r="H27" s="41" t="n"/>
      <c r="I27" s="55">
        <f>IF(G27="","",G27-N(H27))</f>
        <v/>
      </c>
      <c r="M27" s="48">
        <f>IF(G27="","",IF(L27&lt;&gt;"",N(L27),N(J27)/1000*$D$7))</f>
        <v/>
      </c>
      <c r="N27" s="16">
        <f>IF(G27="","",N(M27)*($D$5/$D$6))</f>
        <v/>
      </c>
      <c r="P27" s="48">
        <f>IF(G27="","",IF(O27&lt;&gt;"",N(O27),N(J27)*($D$9/$D$10)))</f>
        <v/>
      </c>
      <c r="Q27" s="16">
        <f>IF(G27="","",N(P27)*($D$8/$D$9))</f>
        <v/>
      </c>
      <c r="S27" s="16">
        <f>IF(G27="","",IF(T27&lt;&gt;"",N(T27),N(R27)*$D$13*2/$D$12*$D$11))</f>
        <v/>
      </c>
      <c r="T27" s="41" t="n"/>
      <c r="U27" s="16">
        <f>IF(G27="","",SUMIFS(Payments!$H$5:$H$26,Payments!$K$5:$K$26,B27,Payments!$L$5:$L$26,A27))</f>
        <v/>
      </c>
      <c r="V27" s="41" t="n"/>
      <c r="W27" s="41" t="n"/>
      <c r="X27" s="16">
        <f>IF(G27="","",IF(W27&lt;&gt;"",N(W27),G27*$D$14))</f>
        <v/>
      </c>
      <c r="Y27" s="16">
        <f>IF(G27="","",N(N27)+N(Q27)+N(S27)+N(U27)+N(V27)+N(X27)+N(AC27))</f>
        <v/>
      </c>
      <c r="Z27" s="16">
        <f>IF(G27="","",G27-N(Y27))</f>
        <v/>
      </c>
      <c r="AA27" s="24">
        <f>IF(N(G27)=0,"",N(Z27)/G27)</f>
        <v/>
      </c>
      <c r="AB27" s="14">
        <f>IF(A27="","",TEXT(A27,"yyyy-mm"))</f>
        <v/>
      </c>
      <c r="AC27" s="41">
        <f>IF(G27="","",N(J27)/($AE$7*$AE$8)*$AE$6*$D$11)</f>
        <v/>
      </c>
    </row>
    <row r="28">
      <c r="A28" s="59" t="n"/>
      <c r="G28" s="41" t="n"/>
      <c r="H28" s="41" t="n"/>
      <c r="I28" s="55">
        <f>IF(G28="","",G28-N(H28))</f>
        <v/>
      </c>
      <c r="M28" s="48">
        <f>IF(G28="","",IF(L28&lt;&gt;"",N(L28),N(J28)/1000*$D$7))</f>
        <v/>
      </c>
      <c r="N28" s="16">
        <f>IF(G28="","",N(M28)*($D$5/$D$6))</f>
        <v/>
      </c>
      <c r="P28" s="48">
        <f>IF(G28="","",IF(O28&lt;&gt;"",N(O28),N(J28)*($D$9/$D$10)))</f>
        <v/>
      </c>
      <c r="Q28" s="16">
        <f>IF(G28="","",N(P28)*($D$8/$D$9))</f>
        <v/>
      </c>
      <c r="S28" s="16">
        <f>IF(G28="","",IF(T28&lt;&gt;"",N(T28),N(R28)*$D$13*2/$D$12*$D$11))</f>
        <v/>
      </c>
      <c r="T28" s="41" t="n"/>
      <c r="U28" s="16">
        <f>IF(G28="","",SUMIFS(Payments!$H$5:$H$26,Payments!$K$5:$K$26,B28,Payments!$L$5:$L$26,A28))</f>
        <v/>
      </c>
      <c r="V28" s="41" t="n"/>
      <c r="W28" s="41" t="n"/>
      <c r="X28" s="16">
        <f>IF(G28="","",IF(W28&lt;&gt;"",N(W28),G28*$D$14))</f>
        <v/>
      </c>
      <c r="Y28" s="16">
        <f>IF(G28="","",N(N28)+N(Q28)+N(S28)+N(U28)+N(V28)+N(X28)+N(AC28))</f>
        <v/>
      </c>
      <c r="Z28" s="16">
        <f>IF(G28="","",G28-N(Y28))</f>
        <v/>
      </c>
      <c r="AA28" s="24">
        <f>IF(N(G28)=0,"",N(Z28)/G28)</f>
        <v/>
      </c>
      <c r="AB28" s="14">
        <f>IF(A28="","",TEXT(A28,"yyyy-mm"))</f>
        <v/>
      </c>
      <c r="AC28" s="41">
        <f>IF(G28="","",N(J28)/($AE$7*$AE$8)*$AE$6*$D$11)</f>
        <v/>
      </c>
    </row>
    <row r="29">
      <c r="A29" s="59" t="n"/>
      <c r="G29" s="41" t="n"/>
      <c r="H29" s="41" t="n"/>
      <c r="I29" s="55">
        <f>IF(G29="","",G29-N(H29))</f>
        <v/>
      </c>
      <c r="M29" s="48">
        <f>IF(G29="","",IF(L29&lt;&gt;"",N(L29),N(J29)/1000*$D$7))</f>
        <v/>
      </c>
      <c r="N29" s="16">
        <f>IF(G29="","",N(M29)*($D$5/$D$6))</f>
        <v/>
      </c>
      <c r="P29" s="48">
        <f>IF(G29="","",IF(O29&lt;&gt;"",N(O29),N(J29)*($D$9/$D$10)))</f>
        <v/>
      </c>
      <c r="Q29" s="16">
        <f>IF(G29="","",N(P29)*($D$8/$D$9))</f>
        <v/>
      </c>
      <c r="S29" s="16">
        <f>IF(G29="","",IF(T29&lt;&gt;"",N(T29),N(R29)*$D$13*2/$D$12*$D$11))</f>
        <v/>
      </c>
      <c r="T29" s="41" t="n"/>
      <c r="U29" s="16">
        <f>IF(G29="","",SUMIFS(Payments!$H$5:$H$26,Payments!$K$5:$K$26,B29,Payments!$L$5:$L$26,A29))</f>
        <v/>
      </c>
      <c r="V29" s="41" t="n"/>
      <c r="W29" s="41" t="n"/>
      <c r="X29" s="16">
        <f>IF(G29="","",IF(W29&lt;&gt;"",N(W29),G29*$D$14))</f>
        <v/>
      </c>
      <c r="Y29" s="16">
        <f>IF(G29="","",N(N29)+N(Q29)+N(S29)+N(U29)+N(V29)+N(X29)+N(AC29))</f>
        <v/>
      </c>
      <c r="Z29" s="16">
        <f>IF(G29="","",G29-N(Y29))</f>
        <v/>
      </c>
      <c r="AA29" s="24">
        <f>IF(N(G29)=0,"",N(Z29)/G29)</f>
        <v/>
      </c>
      <c r="AB29" s="14">
        <f>IF(A29="","",TEXT(A29,"yyyy-mm"))</f>
        <v/>
      </c>
      <c r="AC29" s="41">
        <f>IF(G29="","",N(J29)/($AE$7*$AE$8)*$AE$6*$D$11)</f>
        <v/>
      </c>
    </row>
    <row r="30">
      <c r="A30" s="59" t="n"/>
      <c r="G30" s="41" t="n"/>
      <c r="H30" s="41" t="n"/>
      <c r="I30" s="55">
        <f>IF(G30="","",G30-N(H30))</f>
        <v/>
      </c>
      <c r="M30" s="48">
        <f>IF(G30="","",IF(L30&lt;&gt;"",N(L30),N(J30)/1000*$D$7))</f>
        <v/>
      </c>
      <c r="N30" s="16">
        <f>IF(G30="","",N(M30)*($D$5/$D$6))</f>
        <v/>
      </c>
      <c r="P30" s="48">
        <f>IF(G30="","",IF(O30&lt;&gt;"",N(O30),N(J30)*($D$9/$D$10)))</f>
        <v/>
      </c>
      <c r="Q30" s="16">
        <f>IF(G30="","",N(P30)*($D$8/$D$9))</f>
        <v/>
      </c>
      <c r="S30" s="16">
        <f>IF(G30="","",IF(T30&lt;&gt;"",N(T30),N(R30)*$D$13*2/$D$12*$D$11))</f>
        <v/>
      </c>
      <c r="T30" s="41" t="n"/>
      <c r="U30" s="16">
        <f>IF(G30="","",SUMIFS(Payments!$H$5:$H$26,Payments!$K$5:$K$26,B30,Payments!$L$5:$L$26,A30))</f>
        <v/>
      </c>
      <c r="V30" s="41" t="n"/>
      <c r="W30" s="41" t="n"/>
      <c r="X30" s="16">
        <f>IF(G30="","",IF(W30&lt;&gt;"",N(W30),G30*$D$14))</f>
        <v/>
      </c>
      <c r="Y30" s="16">
        <f>IF(G30="","",N(N30)+N(Q30)+N(S30)+N(U30)+N(V30)+N(X30)+N(AC30))</f>
        <v/>
      </c>
      <c r="Z30" s="16">
        <f>IF(G30="","",G30-N(Y30))</f>
        <v/>
      </c>
      <c r="AA30" s="24">
        <f>IF(N(G30)=0,"",N(Z30)/G30)</f>
        <v/>
      </c>
      <c r="AB30" s="14">
        <f>IF(A30="","",TEXT(A30,"yyyy-mm"))</f>
        <v/>
      </c>
      <c r="AC30" s="41">
        <f>IF(G30="","",N(J30)/($AE$7*$AE$8)*$AE$6*$D$11)</f>
        <v/>
      </c>
    </row>
    <row r="31">
      <c r="A31" s="59" t="n"/>
      <c r="G31" s="41" t="n"/>
      <c r="H31" s="41" t="n"/>
      <c r="I31" s="55">
        <f>IF(G31="","",G31-N(H31))</f>
        <v/>
      </c>
      <c r="M31" s="48">
        <f>IF(G31="","",IF(L31&lt;&gt;"",N(L31),N(J31)/1000*$D$7))</f>
        <v/>
      </c>
      <c r="N31" s="16">
        <f>IF(G31="","",N(M31)*($D$5/$D$6))</f>
        <v/>
      </c>
      <c r="P31" s="48">
        <f>IF(G31="","",IF(O31&lt;&gt;"",N(O31),N(J31)*($D$9/$D$10)))</f>
        <v/>
      </c>
      <c r="Q31" s="16">
        <f>IF(G31="","",N(P31)*($D$8/$D$9))</f>
        <v/>
      </c>
      <c r="S31" s="16">
        <f>IF(G31="","",IF(T31&lt;&gt;"",N(T31),N(R31)*$D$13*2/$D$12*$D$11))</f>
        <v/>
      </c>
      <c r="T31" s="41" t="n"/>
      <c r="U31" s="16">
        <f>IF(G31="","",SUMIFS(Payments!$H$5:$H$26,Payments!$K$5:$K$26,B31,Payments!$L$5:$L$26,A31))</f>
        <v/>
      </c>
      <c r="V31" s="41" t="n"/>
      <c r="W31" s="41" t="n"/>
      <c r="X31" s="16">
        <f>IF(G31="","",IF(W31&lt;&gt;"",N(W31),G31*$D$14))</f>
        <v/>
      </c>
      <c r="Y31" s="16">
        <f>IF(G31="","",N(N31)+N(Q31)+N(S31)+N(U31)+N(V31)+N(X31)+N(AC31))</f>
        <v/>
      </c>
      <c r="Z31" s="16">
        <f>IF(G31="","",G31-N(Y31))</f>
        <v/>
      </c>
      <c r="AA31" s="24">
        <f>IF(N(G31)=0,"",N(Z31)/G31)</f>
        <v/>
      </c>
      <c r="AB31" s="14">
        <f>IF(A31="","",TEXT(A31,"yyyy-mm"))</f>
        <v/>
      </c>
      <c r="AC31" s="41">
        <f>IF(G31="","",N(J31)/($AE$7*$AE$8)*$AE$6*$D$11)</f>
        <v/>
      </c>
    </row>
    <row r="32">
      <c r="A32" s="59" t="n"/>
      <c r="G32" s="41" t="n"/>
      <c r="H32" s="41" t="n"/>
      <c r="I32" s="55">
        <f>IF(G32="","",G32-N(H32))</f>
        <v/>
      </c>
      <c r="M32" s="48">
        <f>IF(G32="","",IF(L32&lt;&gt;"",N(L32),N(J32)/1000*$D$7))</f>
        <v/>
      </c>
      <c r="N32" s="16">
        <f>IF(G32="","",N(M32)*($D$5/$D$6))</f>
        <v/>
      </c>
      <c r="P32" s="48">
        <f>IF(G32="","",IF(O32&lt;&gt;"",N(O32),N(J32)*($D$9/$D$10)))</f>
        <v/>
      </c>
      <c r="Q32" s="16">
        <f>IF(G32="","",N(P32)*($D$8/$D$9))</f>
        <v/>
      </c>
      <c r="S32" s="16">
        <f>IF(G32="","",IF(T32&lt;&gt;"",N(T32),N(R32)*$D$13*2/$D$12*$D$11))</f>
        <v/>
      </c>
      <c r="T32" s="41" t="n"/>
      <c r="U32" s="16">
        <f>IF(G32="","",SUMIFS(Payments!$H$5:$H$26,Payments!$K$5:$K$26,B32,Payments!$L$5:$L$26,A32))</f>
        <v/>
      </c>
      <c r="V32" s="41" t="n"/>
      <c r="W32" s="41" t="n"/>
      <c r="X32" s="16">
        <f>IF(G32="","",IF(W32&lt;&gt;"",N(W32),G32*$D$14))</f>
        <v/>
      </c>
      <c r="Y32" s="16">
        <f>IF(G32="","",N(N32)+N(Q32)+N(S32)+N(U32)+N(V32)+N(X32)+N(AC32))</f>
        <v/>
      </c>
      <c r="Z32" s="16">
        <f>IF(G32="","",G32-N(Y32))</f>
        <v/>
      </c>
      <c r="AA32" s="24">
        <f>IF(N(G32)=0,"",N(Z32)/G32)</f>
        <v/>
      </c>
      <c r="AB32" s="14">
        <f>IF(A32="","",TEXT(A32,"yyyy-mm"))</f>
        <v/>
      </c>
      <c r="AC32" s="41">
        <f>IF(G32="","",N(J32)/($AE$7*$AE$8)*$AE$6*$D$11)</f>
        <v/>
      </c>
    </row>
    <row r="33">
      <c r="A33" s="59" t="n"/>
      <c r="G33" s="41" t="n"/>
      <c r="H33" s="41" t="n"/>
      <c r="I33" s="55">
        <f>IF(G33="","",G33-N(H33))</f>
        <v/>
      </c>
      <c r="M33" s="48">
        <f>IF(G33="","",IF(L33&lt;&gt;"",N(L33),N(J33)/1000*$D$7))</f>
        <v/>
      </c>
      <c r="N33" s="16">
        <f>IF(G33="","",N(M33)*($D$5/$D$6))</f>
        <v/>
      </c>
      <c r="P33" s="48">
        <f>IF(G33="","",IF(O33&lt;&gt;"",N(O33),N(J33)*($D$9/$D$10)))</f>
        <v/>
      </c>
      <c r="Q33" s="16">
        <f>IF(G33="","",N(P33)*($D$8/$D$9))</f>
        <v/>
      </c>
      <c r="S33" s="16">
        <f>IF(G33="","",IF(T33&lt;&gt;"",N(T33),N(R33)*$D$13*2/$D$12*$D$11))</f>
        <v/>
      </c>
      <c r="T33" s="41" t="n"/>
      <c r="U33" s="16">
        <f>IF(G33="","",SUMIFS(Payments!$H$5:$H$26,Payments!$K$5:$K$26,B33,Payments!$L$5:$L$26,A33))</f>
        <v/>
      </c>
      <c r="V33" s="41" t="n"/>
      <c r="W33" s="41" t="n"/>
      <c r="X33" s="16">
        <f>IF(G33="","",IF(W33&lt;&gt;"",N(W33),G33*$D$14))</f>
        <v/>
      </c>
      <c r="Y33" s="16">
        <f>IF(G33="","",N(N33)+N(Q33)+N(S33)+N(U33)+N(V33)+N(X33)+N(AC33))</f>
        <v/>
      </c>
      <c r="Z33" s="16">
        <f>IF(G33="","",G33-N(Y33))</f>
        <v/>
      </c>
      <c r="AA33" s="24">
        <f>IF(N(G33)=0,"",N(Z33)/G33)</f>
        <v/>
      </c>
      <c r="AB33" s="14">
        <f>IF(A33="","",TEXT(A33,"yyyy-mm"))</f>
        <v/>
      </c>
      <c r="AC33" s="41">
        <f>IF(G33="","",N(J33)/($AE$7*$AE$8)*$AE$6*$D$11)</f>
        <v/>
      </c>
    </row>
    <row r="34">
      <c r="A34" s="59" t="n"/>
      <c r="G34" s="41" t="n"/>
      <c r="H34" s="41" t="n"/>
      <c r="I34" s="55">
        <f>IF(G34="","",G34-N(H34))</f>
        <v/>
      </c>
      <c r="M34" s="48">
        <f>IF(G34="","",IF(L34&lt;&gt;"",N(L34),N(J34)/1000*$D$7))</f>
        <v/>
      </c>
      <c r="N34" s="16">
        <f>IF(G34="","",N(M34)*($D$5/$D$6))</f>
        <v/>
      </c>
      <c r="P34" s="48">
        <f>IF(G34="","",IF(O34&lt;&gt;"",N(O34),N(J34)*($D$9/$D$10)))</f>
        <v/>
      </c>
      <c r="Q34" s="16">
        <f>IF(G34="","",N(P34)*($D$8/$D$9))</f>
        <v/>
      </c>
      <c r="S34" s="16">
        <f>IF(G34="","",IF(T34&lt;&gt;"",N(T34),N(R34)*$D$13*2/$D$12*$D$11))</f>
        <v/>
      </c>
      <c r="T34" s="41" t="n"/>
      <c r="U34" s="16">
        <f>IF(G34="","",SUMIFS(Payments!$H$5:$H$26,Payments!$K$5:$K$26,B34,Payments!$L$5:$L$26,A34))</f>
        <v/>
      </c>
      <c r="V34" s="41" t="n"/>
      <c r="W34" s="41" t="n"/>
      <c r="X34" s="16">
        <f>IF(G34="","",IF(W34&lt;&gt;"",N(W34),G34*$D$14))</f>
        <v/>
      </c>
      <c r="Y34" s="16">
        <f>IF(G34="","",N(N34)+N(Q34)+N(S34)+N(U34)+N(V34)+N(X34)+N(AC34))</f>
        <v/>
      </c>
      <c r="Z34" s="16">
        <f>IF(G34="","",G34-N(Y34))</f>
        <v/>
      </c>
      <c r="AA34" s="24">
        <f>IF(N(G34)=0,"",N(Z34)/G34)</f>
        <v/>
      </c>
      <c r="AB34" s="14">
        <f>IF(A34="","",TEXT(A34,"yyyy-mm"))</f>
        <v/>
      </c>
      <c r="AC34" s="41">
        <f>IF(G34="","",N(J34)/($AE$7*$AE$8)*$AE$6*$D$11)</f>
        <v/>
      </c>
    </row>
    <row r="35">
      <c r="A35" s="21" t="inlineStr">
        <is>
          <t>Total</t>
        </is>
      </c>
      <c r="B35" s="23" t="n"/>
      <c r="C35" s="23" t="n"/>
      <c r="D35" s="23" t="n"/>
      <c r="E35" s="23" t="n"/>
      <c r="F35" s="23" t="n"/>
      <c r="G35" s="72">
        <f>SUM(G16:G34)</f>
        <v/>
      </c>
      <c r="H35" s="72">
        <f>SUM(H16:H34)</f>
        <v/>
      </c>
      <c r="I35" s="72">
        <f>SUM(I16:I34)</f>
        <v/>
      </c>
      <c r="J35" s="23" t="n"/>
      <c r="K35" s="23" t="n"/>
      <c r="L35" s="23" t="n"/>
      <c r="M35" s="52">
        <f>SUM(M16:M34)</f>
        <v/>
      </c>
      <c r="N35" s="22">
        <f>SUM(N16:N34)</f>
        <v/>
      </c>
      <c r="O35" s="23" t="n"/>
      <c r="P35" s="52">
        <f>SUM(P16:P34)</f>
        <v/>
      </c>
      <c r="Q35" s="22">
        <f>SUM(Q16:Q34)</f>
        <v/>
      </c>
      <c r="R35" s="23" t="n"/>
      <c r="S35" s="22">
        <f>SUM(S16:S34)</f>
        <v/>
      </c>
      <c r="T35" s="23" t="n"/>
      <c r="U35" s="22">
        <f>SUM(U16:U34)</f>
        <v/>
      </c>
      <c r="V35" s="22">
        <f>SUM(V16:V34)</f>
        <v/>
      </c>
      <c r="W35" s="23" t="n"/>
      <c r="X35" s="22">
        <f>SUM(X16:X34)</f>
        <v/>
      </c>
      <c r="Y35" s="22">
        <f>SUM(Y16:Y34)</f>
        <v/>
      </c>
      <c r="Z35" s="22">
        <f>SUM(Z16:Z34)</f>
        <v/>
      </c>
      <c r="AA35" s="53">
        <f>IF(G35=0,0,Z35/G35)</f>
        <v/>
      </c>
      <c r="AB35" s="23" t="n"/>
    </row>
    <row r="37">
      <c r="A37" s="11" t="inlineStr">
        <is>
          <t>Square fees come from the Payments tab by customer. Crew pay comes from the Employees tab unless you type an override. Collected and price are from the app. Seed and fertilizer lb: Jen's quote where recorded, otherwise the lawn size x the rates above. Aerator gas: lawn sq ft over the Bobcat’s coverage, times its fuel per hour and the gas price (inputs at AD5:AE9); a job with no lawn size has none.</t>
        </is>
      </c>
    </row>
  </sheetData>
  <dataValidations count="2">
    <dataValidation sqref="E16:E34" showDropDown="0" showInputMessage="0" showErrorMessage="0" allowBlank="1" type="list">
      <formula1>"Done,Booked,Cancelled"</formula1>
    </dataValidation>
    <dataValidation sqref="C16:C34" showDropDown="0" showInputMessage="0" showErrorMessage="0" allowBlank="1" type="list">
      <formula1>"Sixfold,365"</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2026-10-21T17:51:16Z</dcterms:created>
  <dcterms:modified xsi:type="dcterms:W3CDTF">2026-10-22T00:24:22Z</dcterms:modified>
</cp:coreProperties>
</file>